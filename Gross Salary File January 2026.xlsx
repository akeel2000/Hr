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23EE00A7-496C-4CF7-B8FF-59CA37B5A80D}" xr6:coauthVersionLast="47" xr6:coauthVersionMax="47" xr10:uidLastSave="{00000000-0000-0000-0000-000000000000}"/>
  <bookViews>
    <workbookView xWindow="-109" yWindow="-109" windowWidth="26301" windowHeight="14169" xr2:uid="{7E616004-41C6-4416-BC47-11CE41B661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2" i="1"/>
  <c r="D61" i="1"/>
  <c r="D50" i="1"/>
  <c r="D39" i="1"/>
  <c r="D33" i="1"/>
  <c r="D25" i="1"/>
  <c r="D19" i="1"/>
  <c r="M27" i="1"/>
  <c r="M56" i="1"/>
  <c r="M50" i="1"/>
  <c r="M39" i="1"/>
  <c r="M33" i="1"/>
  <c r="M25" i="1"/>
  <c r="E61" i="1"/>
  <c r="E50" i="1"/>
  <c r="E39" i="1"/>
  <c r="E33" i="1"/>
  <c r="E25" i="1"/>
  <c r="E19" i="1"/>
  <c r="E12" i="1"/>
  <c r="D12" i="1"/>
  <c r="K61" i="1"/>
  <c r="I61" i="1"/>
  <c r="M60" i="1"/>
  <c r="E59" i="1"/>
  <c r="M59" i="1" s="1"/>
  <c r="D59" i="1"/>
  <c r="E56" i="1"/>
  <c r="D56" i="1"/>
  <c r="N6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12" authorId="0" shapeId="0" xr:uid="{F58C5DAA-211C-49E1-9117-0281CA97BB36}">
      <text>
        <r>
          <rPr>
            <b/>
            <sz val="9"/>
            <color indexed="81"/>
            <rFont val="Tahoma"/>
            <charset val="1"/>
          </rPr>
          <t xml:space="preserve">Balaji activated with $3000 </t>
        </r>
      </text>
    </comment>
    <comment ref="F19" authorId="0" shapeId="0" xr:uid="{055DC3DD-BE73-4BA7-8DDC-94C8DD26550D}">
      <text>
        <r>
          <rPr>
            <b/>
            <sz val="9"/>
            <color indexed="81"/>
            <rFont val="Tahoma"/>
            <charset val="1"/>
          </rPr>
          <t xml:space="preserve">total - 534.1033
300*0.75=225
200*0.90=180
34.1033*1=34.1033
total commission - $439.1033
$439.1033*295=129,535.47 LKR </t>
        </r>
      </text>
    </comment>
    <comment ref="J19" authorId="0" shapeId="0" xr:uid="{83CA3334-B576-40B5-908B-B1D2C732C5B5}">
      <text>
        <r>
          <rPr>
            <b/>
            <sz val="9"/>
            <color indexed="81"/>
            <rFont val="Tahoma"/>
            <charset val="1"/>
          </rPr>
          <t xml:space="preserve">Weekly target $30 
</t>
        </r>
      </text>
    </comment>
    <comment ref="F27" authorId="0" shapeId="0" xr:uid="{AD5173C8-94A9-46AF-8BE0-7A0F8711B428}">
      <text>
        <r>
          <rPr>
            <b/>
            <sz val="9"/>
            <color indexed="81"/>
            <rFont val="Tahoma"/>
            <charset val="1"/>
          </rPr>
          <t>total lots - 679.3585
300*0.75=225
200*0.90=180
76.4213*0.10=7.642 (Special) 
102.937*1=102.937
total commission 515.5792</t>
        </r>
      </text>
    </comment>
    <comment ref="G27" authorId="0" shapeId="0" xr:uid="{14C464ED-AF4A-4E71-9588-CC8C44E5B91C}">
      <text>
        <r>
          <rPr>
            <b/>
            <sz val="9"/>
            <color indexed="81"/>
            <rFont val="Tahoma"/>
            <charset val="1"/>
          </rPr>
          <t xml:space="preserve">Target achivement bonus $30
30*295=8850 LKR 
</t>
        </r>
      </text>
    </comment>
    <comment ref="I39" authorId="0" shapeId="0" xr:uid="{4178C489-D993-40EE-9C93-402279175E2C}">
      <text>
        <r>
          <rPr>
            <b/>
            <sz val="9"/>
            <color indexed="81"/>
            <rFont val="Tahoma"/>
            <charset val="1"/>
          </rPr>
          <t xml:space="preserve">5000 LKR advance </t>
        </r>
      </text>
    </comment>
    <comment ref="F56" authorId="0" shapeId="0" xr:uid="{A4901AEF-908C-4BDE-9645-9727661B8133}">
      <text>
        <r>
          <rPr>
            <b/>
            <sz val="9"/>
            <color indexed="81"/>
            <rFont val="Tahoma"/>
            <charset val="1"/>
          </rPr>
          <t xml:space="preserve">Total lots - 6.13
6.13*0.75=4.59
4.59*295=1356.26 LKR 
</t>
        </r>
      </text>
    </comment>
  </commentList>
</comments>
</file>

<file path=xl/sharedStrings.xml><?xml version="1.0" encoding="utf-8"?>
<sst xmlns="http://schemas.openxmlformats.org/spreadsheetml/2006/main" count="115" uniqueCount="76">
  <si>
    <t>Retention</t>
  </si>
  <si>
    <t>Target</t>
  </si>
  <si>
    <t>2nd Target</t>
  </si>
  <si>
    <t xml:space="preserve">Weekly </t>
  </si>
  <si>
    <t>Attendance</t>
  </si>
  <si>
    <t>EPF</t>
  </si>
  <si>
    <t>Grand</t>
  </si>
  <si>
    <t>Agent Name</t>
  </si>
  <si>
    <t>Client Name</t>
  </si>
  <si>
    <t>Date of FTD</t>
  </si>
  <si>
    <t>FTD</t>
  </si>
  <si>
    <t>Comission</t>
  </si>
  <si>
    <t>Achievement</t>
  </si>
  <si>
    <t>Basic</t>
  </si>
  <si>
    <t>Acheivement</t>
  </si>
  <si>
    <t>Bonus</t>
  </si>
  <si>
    <t>Deduction</t>
  </si>
  <si>
    <t>Total</t>
  </si>
  <si>
    <t>Dharshan</t>
  </si>
  <si>
    <t>Vinoth</t>
  </si>
  <si>
    <t>Thileeban</t>
  </si>
  <si>
    <t>Dileepan</t>
  </si>
  <si>
    <t>Riya</t>
  </si>
  <si>
    <t>Sakeer</t>
  </si>
  <si>
    <t>Akash</t>
  </si>
  <si>
    <t>Aahila</t>
  </si>
  <si>
    <t>Nazeem</t>
  </si>
  <si>
    <t>Saheel</t>
  </si>
  <si>
    <t>Nabeel</t>
  </si>
  <si>
    <t xml:space="preserve">Nandhagopal </t>
  </si>
  <si>
    <t>Sriram Ramamoorthy</t>
  </si>
  <si>
    <t xml:space="preserve">Yogarasa Reventhika </t>
  </si>
  <si>
    <t>17/1/2026</t>
  </si>
  <si>
    <t>Supriya Nandhagopal</t>
  </si>
  <si>
    <t>29/01/2026</t>
  </si>
  <si>
    <t>Ganeshan</t>
  </si>
  <si>
    <t>30/01/2026</t>
  </si>
  <si>
    <t>Murali Krishnan</t>
  </si>
  <si>
    <t>28/01/2026</t>
  </si>
  <si>
    <t>Santosh</t>
  </si>
  <si>
    <t>Sanmuruge</t>
  </si>
  <si>
    <t>Muthumalai</t>
  </si>
  <si>
    <t>13/1/2026</t>
  </si>
  <si>
    <t>Sababathi Tamil Mannan</t>
  </si>
  <si>
    <t>Alfan</t>
  </si>
  <si>
    <t>14/1/2026</t>
  </si>
  <si>
    <t>Philom</t>
  </si>
  <si>
    <t>Magudeeshwaran</t>
  </si>
  <si>
    <t>31/02/2026</t>
  </si>
  <si>
    <t>Shakeer</t>
  </si>
  <si>
    <t>Kamalan</t>
  </si>
  <si>
    <t>Vimal Antony</t>
  </si>
  <si>
    <t>20/1/2026</t>
  </si>
  <si>
    <t xml:space="preserve">Prabha Suganya </t>
  </si>
  <si>
    <t>Ashwin</t>
  </si>
  <si>
    <t>Almeida</t>
  </si>
  <si>
    <t>25/1/2026</t>
  </si>
  <si>
    <t>Swati Swami</t>
  </si>
  <si>
    <t>Yogesh</t>
  </si>
  <si>
    <t>Kapil</t>
  </si>
  <si>
    <t>Sajeevan</t>
  </si>
  <si>
    <t>Anil Menon</t>
  </si>
  <si>
    <t>Ruwan</t>
  </si>
  <si>
    <t>Rajiv Ranjan</t>
  </si>
  <si>
    <t>Chandani Hemalatha</t>
  </si>
  <si>
    <t>Bindu Menon</t>
  </si>
  <si>
    <t>Prashanth</t>
  </si>
  <si>
    <t>15/1/2026</t>
  </si>
  <si>
    <t>Hussain</t>
  </si>
  <si>
    <t>16/1/2026</t>
  </si>
  <si>
    <t>Prathison</t>
  </si>
  <si>
    <t>26/01/2026</t>
  </si>
  <si>
    <t xml:space="preserve">Saheel </t>
  </si>
  <si>
    <t>Akash Ahire</t>
  </si>
  <si>
    <t>17/01/2026</t>
  </si>
  <si>
    <t>Total No.of Sales &amp; Salary Expenses for the Month of January 2026 (Only Agents &amp;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</si>
</sst>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Rs-846]\ #,##0.00"/>
    <numFmt numFmtId="165" formatCode="_-[$Rs.-849]\ * #,##0.00_-;\-[$Rs.-849]\ * #,##0.00_-;_-[$Rs.-849]\ * &quot;-&quot;??_-;_-@_-"/>
    <numFmt numFmtId="166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/>
    </xf>
    <xf numFmtId="44" fontId="4" fillId="2" borderId="1" xfId="1" applyFont="1" applyFill="1" applyBorder="1" applyAlignment="1" applyProtection="1">
      <alignment horizont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44" fontId="4" fillId="2" borderId="1" xfId="1" applyFont="1" applyFill="1" applyBorder="1" applyAlignment="1" applyProtection="1">
      <alignment horizontal="center" vertical="top"/>
    </xf>
    <xf numFmtId="164" fontId="4" fillId="2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6" fontId="0" fillId="3" borderId="1" xfId="1" applyNumberFormat="1" applyFont="1" applyFill="1" applyBorder="1" applyAlignment="1">
      <alignment horizontal="center"/>
    </xf>
    <xf numFmtId="165" fontId="0" fillId="3" borderId="1" xfId="0" applyNumberFormat="1" applyFill="1" applyBorder="1"/>
    <xf numFmtId="0" fontId="2" fillId="4" borderId="1" xfId="0" applyFont="1" applyFill="1" applyBorder="1" applyAlignment="1">
      <alignment horizontal="center"/>
    </xf>
    <xf numFmtId="166" fontId="2" fillId="4" borderId="1" xfId="1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44" fontId="2" fillId="4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/>
    <xf numFmtId="166" fontId="2" fillId="3" borderId="1" xfId="1" applyNumberFormat="1" applyFont="1" applyFill="1" applyBorder="1" applyAlignment="1">
      <alignment horizontal="center"/>
    </xf>
    <xf numFmtId="165" fontId="2" fillId="3" borderId="1" xfId="0" applyNumberFormat="1" applyFont="1" applyFill="1" applyBorder="1"/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3BC9-1353-4808-871D-C6E3D841713F}">
  <dimension ref="A1:N61"/>
  <sheetViews>
    <sheetView tabSelected="1" zoomScale="90" zoomScaleNormal="90" workbookViewId="0">
      <selection activeCell="I8" sqref="I8"/>
    </sheetView>
  </sheetViews>
  <sheetFormatPr defaultRowHeight="14.3" x14ac:dyDescent="0.25"/>
  <cols>
    <col min="1" max="1" width="19.625" customWidth="1"/>
    <col min="2" max="2" width="23.125" customWidth="1"/>
    <col min="3" max="3" width="17.875" customWidth="1"/>
    <col min="4" max="4" width="14.875" customWidth="1"/>
    <col min="5" max="5" width="17.25" customWidth="1"/>
    <col min="6" max="6" width="19.625" customWidth="1"/>
    <col min="7" max="7" width="14.875" customWidth="1"/>
    <col min="8" max="8" width="15.875" customWidth="1"/>
    <col min="9" max="9" width="14.125" bestFit="1" customWidth="1"/>
    <col min="10" max="10" width="13.5" bestFit="1" customWidth="1"/>
    <col min="11" max="11" width="11.875" bestFit="1" customWidth="1"/>
    <col min="12" max="12" width="10.75" bestFit="1" customWidth="1"/>
    <col min="13" max="13" width="14.125" bestFit="1" customWidth="1"/>
    <col min="14" max="14" width="19.125" customWidth="1"/>
  </cols>
  <sheetData>
    <row r="1" spans="1:14" ht="21.75" x14ac:dyDescent="0.25">
      <c r="A1" s="29" t="s">
        <v>75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6.3" x14ac:dyDescent="0.3">
      <c r="A2" s="1"/>
      <c r="B2" s="1"/>
      <c r="C2" s="1"/>
      <c r="D2" s="2"/>
      <c r="E2" s="1"/>
      <c r="F2" s="1" t="s">
        <v>0</v>
      </c>
      <c r="G2" s="1" t="s">
        <v>1</v>
      </c>
      <c r="H2" s="1" t="s">
        <v>2</v>
      </c>
      <c r="I2" s="1"/>
      <c r="J2" s="1" t="s">
        <v>3</v>
      </c>
      <c r="K2" s="3" t="s">
        <v>4</v>
      </c>
      <c r="L2" s="1" t="s">
        <v>5</v>
      </c>
      <c r="M2" s="1"/>
      <c r="N2" s="1" t="s">
        <v>6</v>
      </c>
    </row>
    <row r="3" spans="1:14" ht="16.3" x14ac:dyDescent="0.25">
      <c r="A3" s="4" t="s">
        <v>7</v>
      </c>
      <c r="B3" s="4" t="s">
        <v>8</v>
      </c>
      <c r="C3" s="4" t="s">
        <v>9</v>
      </c>
      <c r="D3" s="5" t="s">
        <v>10</v>
      </c>
      <c r="E3" s="4" t="s">
        <v>11</v>
      </c>
      <c r="F3" s="4" t="s">
        <v>11</v>
      </c>
      <c r="G3" s="4" t="s">
        <v>12</v>
      </c>
      <c r="H3" s="4" t="s">
        <v>12</v>
      </c>
      <c r="I3" s="4" t="s">
        <v>13</v>
      </c>
      <c r="J3" s="4" t="s">
        <v>14</v>
      </c>
      <c r="K3" s="6" t="s">
        <v>15</v>
      </c>
      <c r="L3" s="4" t="s">
        <v>16</v>
      </c>
      <c r="M3" s="4" t="s">
        <v>17</v>
      </c>
      <c r="N3" s="4" t="s">
        <v>17</v>
      </c>
    </row>
    <row r="4" spans="1:14" x14ac:dyDescent="0.25">
      <c r="A4" s="7"/>
      <c r="B4" s="7"/>
      <c r="C4" s="7"/>
      <c r="D4" s="8"/>
      <c r="E4" s="9"/>
      <c r="F4" s="9"/>
      <c r="G4" s="9"/>
      <c r="H4" s="9"/>
      <c r="I4" s="9"/>
      <c r="J4" s="9"/>
      <c r="K4" s="10"/>
      <c r="L4" s="9"/>
      <c r="M4" s="9"/>
      <c r="N4" s="9"/>
    </row>
    <row r="5" spans="1:14" x14ac:dyDescent="0.25">
      <c r="A5" s="7" t="s">
        <v>18</v>
      </c>
      <c r="B5" s="7" t="s">
        <v>29</v>
      </c>
      <c r="C5" s="11">
        <v>46143</v>
      </c>
      <c r="D5" s="12">
        <v>200</v>
      </c>
      <c r="E5" s="13">
        <v>3000</v>
      </c>
      <c r="F5" s="9"/>
      <c r="G5" s="9"/>
      <c r="H5" s="9"/>
      <c r="I5" s="9"/>
      <c r="J5" s="9"/>
      <c r="K5" s="10"/>
      <c r="L5" s="9"/>
      <c r="M5" s="9"/>
      <c r="N5" s="9"/>
    </row>
    <row r="6" spans="1:14" x14ac:dyDescent="0.25">
      <c r="A6" s="7" t="s">
        <v>18</v>
      </c>
      <c r="B6" s="7" t="s">
        <v>30</v>
      </c>
      <c r="C6" s="11">
        <v>46266</v>
      </c>
      <c r="D6" s="12">
        <v>1000</v>
      </c>
      <c r="E6" s="13">
        <v>15000</v>
      </c>
      <c r="F6" s="9"/>
      <c r="G6" s="9"/>
      <c r="H6" s="9"/>
      <c r="I6" s="9"/>
      <c r="J6" s="9"/>
      <c r="K6" s="10"/>
      <c r="L6" s="9"/>
      <c r="M6" s="9"/>
      <c r="N6" s="9"/>
    </row>
    <row r="7" spans="1:14" x14ac:dyDescent="0.25">
      <c r="A7" s="7" t="s">
        <v>18</v>
      </c>
      <c r="B7" s="7" t="s">
        <v>31</v>
      </c>
      <c r="C7" s="11" t="s">
        <v>32</v>
      </c>
      <c r="D7" s="12">
        <v>99.99</v>
      </c>
      <c r="E7" s="13">
        <v>3000</v>
      </c>
      <c r="F7" s="9"/>
      <c r="G7" s="9"/>
      <c r="H7" s="9"/>
      <c r="I7" s="9"/>
      <c r="J7" s="9"/>
      <c r="K7" s="10"/>
      <c r="L7" s="9"/>
      <c r="M7" s="9"/>
      <c r="N7" s="9"/>
    </row>
    <row r="8" spans="1:14" x14ac:dyDescent="0.25">
      <c r="A8" s="7" t="s">
        <v>18</v>
      </c>
      <c r="B8" s="7" t="s">
        <v>33</v>
      </c>
      <c r="C8" s="7" t="s">
        <v>34</v>
      </c>
      <c r="D8" s="12">
        <v>108</v>
      </c>
      <c r="E8" s="13">
        <v>3000</v>
      </c>
      <c r="F8" s="9"/>
      <c r="G8" s="9"/>
      <c r="H8" s="9"/>
      <c r="I8" s="9"/>
      <c r="J8" s="9"/>
      <c r="K8" s="10"/>
      <c r="L8" s="9"/>
      <c r="M8" s="9"/>
      <c r="N8" s="9"/>
    </row>
    <row r="9" spans="1:14" x14ac:dyDescent="0.25">
      <c r="A9" s="7" t="s">
        <v>18</v>
      </c>
      <c r="B9" s="7" t="s">
        <v>35</v>
      </c>
      <c r="C9" s="7" t="s">
        <v>36</v>
      </c>
      <c r="D9" s="12">
        <v>308</v>
      </c>
      <c r="E9" s="13">
        <v>6000</v>
      </c>
      <c r="F9" s="9"/>
      <c r="G9" s="9"/>
      <c r="H9" s="9"/>
      <c r="I9" s="9"/>
      <c r="J9" s="9"/>
      <c r="K9" s="10"/>
      <c r="L9" s="9"/>
      <c r="M9" s="9"/>
      <c r="N9" s="9"/>
    </row>
    <row r="10" spans="1:14" x14ac:dyDescent="0.25">
      <c r="A10" s="7" t="s">
        <v>18</v>
      </c>
      <c r="B10" s="7" t="s">
        <v>37</v>
      </c>
      <c r="C10" s="7" t="s">
        <v>38</v>
      </c>
      <c r="D10" s="12">
        <v>390</v>
      </c>
      <c r="E10" s="13">
        <v>6000</v>
      </c>
      <c r="F10" s="9"/>
      <c r="G10" s="9"/>
      <c r="H10" s="9"/>
      <c r="I10" s="9"/>
      <c r="J10" s="9"/>
      <c r="K10" s="10"/>
      <c r="L10" s="9"/>
      <c r="M10" s="9"/>
      <c r="N10" s="9"/>
    </row>
    <row r="11" spans="1:14" x14ac:dyDescent="0.25">
      <c r="A11" s="7"/>
      <c r="B11" s="7"/>
      <c r="C11" s="7"/>
      <c r="D11" s="12"/>
      <c r="E11" s="13"/>
      <c r="F11" s="9"/>
      <c r="G11" s="9"/>
      <c r="H11" s="9"/>
      <c r="I11" s="9"/>
      <c r="J11" s="9"/>
      <c r="K11" s="10"/>
      <c r="L11" s="9"/>
      <c r="M11" s="9"/>
      <c r="N11" s="9"/>
    </row>
    <row r="12" spans="1:14" x14ac:dyDescent="0.25">
      <c r="A12" s="14" t="s">
        <v>18</v>
      </c>
      <c r="B12" s="14"/>
      <c r="C12" s="14"/>
      <c r="D12" s="15">
        <f>SUM(D5:D10)</f>
        <v>2105.9899999999998</v>
      </c>
      <c r="E12" s="16">
        <f>SUM(E5:E11)</f>
        <v>36000</v>
      </c>
      <c r="F12" s="16">
        <v>6000</v>
      </c>
      <c r="G12" s="16"/>
      <c r="H12" s="16"/>
      <c r="I12" s="16">
        <v>80000</v>
      </c>
      <c r="J12" s="16"/>
      <c r="K12" s="17">
        <v>5000</v>
      </c>
      <c r="L12" s="16"/>
      <c r="M12" s="16">
        <f>SUM(K12,I12,E12,F12)</f>
        <v>127000</v>
      </c>
      <c r="N12" s="18"/>
    </row>
    <row r="13" spans="1:14" x14ac:dyDescent="0.25">
      <c r="A13" s="7"/>
      <c r="B13" s="7"/>
      <c r="C13" s="7"/>
      <c r="D13" s="8"/>
      <c r="E13" s="7"/>
      <c r="F13" s="7"/>
      <c r="G13" s="7"/>
      <c r="H13" s="7"/>
      <c r="I13" s="7"/>
      <c r="J13" s="7"/>
      <c r="K13" s="10"/>
      <c r="L13" s="7"/>
      <c r="M13" s="7"/>
      <c r="N13" s="7"/>
    </row>
    <row r="14" spans="1:14" x14ac:dyDescent="0.25">
      <c r="A14" s="7" t="s">
        <v>19</v>
      </c>
      <c r="B14" s="7" t="s">
        <v>39</v>
      </c>
      <c r="C14" s="11">
        <v>46082</v>
      </c>
      <c r="D14" s="12">
        <v>101</v>
      </c>
      <c r="E14" s="13">
        <v>3000</v>
      </c>
      <c r="F14" s="7"/>
      <c r="G14" s="7"/>
      <c r="H14" s="7"/>
      <c r="I14" s="7"/>
      <c r="J14" s="7"/>
      <c r="K14" s="10"/>
      <c r="L14" s="7"/>
      <c r="M14" s="7"/>
      <c r="N14" s="7"/>
    </row>
    <row r="15" spans="1:14" x14ac:dyDescent="0.25">
      <c r="A15" s="7" t="s">
        <v>19</v>
      </c>
      <c r="B15" s="7" t="s">
        <v>40</v>
      </c>
      <c r="C15" s="11">
        <v>46266</v>
      </c>
      <c r="D15" s="12">
        <v>100</v>
      </c>
      <c r="E15" s="13">
        <v>3000</v>
      </c>
      <c r="F15" s="7"/>
      <c r="G15" s="7"/>
      <c r="H15" s="7"/>
      <c r="I15" s="7"/>
      <c r="J15" s="7"/>
      <c r="K15" s="10"/>
      <c r="L15" s="7"/>
      <c r="M15" s="7"/>
      <c r="N15" s="7"/>
    </row>
    <row r="16" spans="1:14" x14ac:dyDescent="0.25">
      <c r="A16" s="7" t="s">
        <v>19</v>
      </c>
      <c r="B16" s="7" t="s">
        <v>41</v>
      </c>
      <c r="C16" s="7" t="s">
        <v>42</v>
      </c>
      <c r="D16" s="12">
        <v>100</v>
      </c>
      <c r="E16" s="13">
        <v>3000</v>
      </c>
      <c r="F16" s="7"/>
      <c r="G16" s="7"/>
      <c r="H16" s="7"/>
      <c r="I16" s="7"/>
      <c r="J16" s="7"/>
      <c r="K16" s="10"/>
      <c r="L16" s="7"/>
      <c r="M16" s="7"/>
      <c r="N16" s="7"/>
    </row>
    <row r="17" spans="1:14" x14ac:dyDescent="0.25">
      <c r="A17" s="7" t="s">
        <v>19</v>
      </c>
      <c r="B17" s="7" t="s">
        <v>43</v>
      </c>
      <c r="C17" s="7" t="s">
        <v>34</v>
      </c>
      <c r="D17" s="12">
        <v>102</v>
      </c>
      <c r="E17" s="13">
        <v>3000</v>
      </c>
      <c r="F17" s="7"/>
      <c r="G17" s="7"/>
      <c r="H17" s="7"/>
      <c r="I17" s="7"/>
      <c r="J17" s="7"/>
      <c r="K17" s="10"/>
      <c r="L17" s="7"/>
      <c r="M17" s="7"/>
      <c r="N17" s="7"/>
    </row>
    <row r="18" spans="1:14" x14ac:dyDescent="0.25">
      <c r="A18" s="7"/>
      <c r="B18" s="7"/>
      <c r="C18" s="11"/>
      <c r="D18" s="12"/>
      <c r="E18" s="13"/>
      <c r="F18" s="7"/>
      <c r="G18" s="7"/>
      <c r="H18" s="7"/>
      <c r="I18" s="7"/>
      <c r="J18" s="7"/>
      <c r="K18" s="10"/>
      <c r="L18" s="7"/>
      <c r="M18" s="7"/>
      <c r="N18" s="7"/>
    </row>
    <row r="19" spans="1:14" x14ac:dyDescent="0.25">
      <c r="A19" s="14" t="s">
        <v>19</v>
      </c>
      <c r="B19" s="14"/>
      <c r="C19" s="14"/>
      <c r="D19" s="15">
        <f>SUM(D14:D18)</f>
        <v>403</v>
      </c>
      <c r="E19" s="16">
        <f>SUM(E14:E18)</f>
        <v>12000</v>
      </c>
      <c r="F19" s="16">
        <v>129535.47</v>
      </c>
      <c r="G19" s="16"/>
      <c r="H19" s="16"/>
      <c r="I19" s="16">
        <v>90000</v>
      </c>
      <c r="J19" s="16">
        <v>14750</v>
      </c>
      <c r="K19" s="17"/>
      <c r="L19" s="16"/>
      <c r="M19" s="16">
        <f>SUM(I19,F19,E19,J19,K19)</f>
        <v>246285.47</v>
      </c>
      <c r="N19" s="18"/>
    </row>
    <row r="20" spans="1:14" x14ac:dyDescent="0.25">
      <c r="A20" s="7"/>
      <c r="B20" s="7"/>
      <c r="C20" s="7"/>
      <c r="D20" s="8"/>
      <c r="E20" s="9"/>
      <c r="F20" s="9"/>
      <c r="G20" s="9"/>
      <c r="H20" s="9"/>
      <c r="I20" s="9"/>
      <c r="J20" s="9"/>
      <c r="K20" s="10"/>
      <c r="L20" s="9"/>
      <c r="M20" s="9"/>
      <c r="N20" s="9"/>
    </row>
    <row r="21" spans="1:14" x14ac:dyDescent="0.25">
      <c r="A21" s="7" t="s">
        <v>20</v>
      </c>
      <c r="B21" s="7" t="s">
        <v>44</v>
      </c>
      <c r="C21" s="11" t="s">
        <v>45</v>
      </c>
      <c r="D21" s="12">
        <v>100</v>
      </c>
      <c r="E21" s="13">
        <v>3000</v>
      </c>
      <c r="F21" s="9"/>
      <c r="G21" s="9"/>
      <c r="H21" s="9"/>
      <c r="I21" s="9"/>
      <c r="J21" s="9"/>
      <c r="K21" s="10"/>
      <c r="L21" s="9"/>
      <c r="M21" s="9"/>
      <c r="N21" s="9"/>
    </row>
    <row r="22" spans="1:14" x14ac:dyDescent="0.25">
      <c r="A22" s="7" t="s">
        <v>20</v>
      </c>
      <c r="B22" s="7" t="s">
        <v>46</v>
      </c>
      <c r="C22" s="7" t="s">
        <v>38</v>
      </c>
      <c r="D22" s="12">
        <v>108</v>
      </c>
      <c r="E22" s="13">
        <v>3000</v>
      </c>
      <c r="F22" s="9"/>
      <c r="G22" s="9"/>
      <c r="H22" s="9"/>
      <c r="I22" s="9"/>
      <c r="J22" s="9"/>
      <c r="K22" s="10"/>
      <c r="L22" s="9"/>
      <c r="M22" s="9"/>
      <c r="N22" s="9"/>
    </row>
    <row r="23" spans="1:14" x14ac:dyDescent="0.25">
      <c r="A23" s="7" t="s">
        <v>20</v>
      </c>
      <c r="B23" s="7" t="s">
        <v>47</v>
      </c>
      <c r="C23" s="7" t="s">
        <v>48</v>
      </c>
      <c r="D23" s="12">
        <v>100</v>
      </c>
      <c r="E23" s="13">
        <v>3000</v>
      </c>
      <c r="F23" s="9"/>
      <c r="G23" s="9"/>
      <c r="H23" s="9"/>
      <c r="I23" s="9"/>
      <c r="J23" s="9"/>
      <c r="K23" s="10"/>
      <c r="L23" s="9"/>
      <c r="M23" s="9"/>
      <c r="N23" s="9"/>
    </row>
    <row r="24" spans="1:14" x14ac:dyDescent="0.25">
      <c r="A24" s="7"/>
      <c r="B24" s="7"/>
      <c r="C24" s="11"/>
      <c r="D24" s="12"/>
      <c r="E24" s="13"/>
      <c r="F24" s="9"/>
      <c r="G24" s="9"/>
      <c r="H24" s="9"/>
      <c r="I24" s="9"/>
      <c r="J24" s="9"/>
      <c r="K24" s="10"/>
      <c r="L24" s="9"/>
      <c r="M24" s="9"/>
      <c r="N24" s="9"/>
    </row>
    <row r="25" spans="1:14" x14ac:dyDescent="0.25">
      <c r="A25" s="14" t="s">
        <v>21</v>
      </c>
      <c r="B25" s="14"/>
      <c r="C25" s="14"/>
      <c r="D25" s="15">
        <f>SUM(D21:D24)</f>
        <v>308</v>
      </c>
      <c r="E25" s="16">
        <f>SUM(E21:E24)</f>
        <v>9000</v>
      </c>
      <c r="F25" s="16"/>
      <c r="G25" s="16"/>
      <c r="H25" s="16"/>
      <c r="I25" s="16">
        <v>55000</v>
      </c>
      <c r="J25" s="16"/>
      <c r="K25" s="17">
        <v>5000</v>
      </c>
      <c r="L25" s="16"/>
      <c r="M25" s="16">
        <f>SUM(K25,I25,E24,E25)</f>
        <v>69000</v>
      </c>
      <c r="N25" s="18"/>
    </row>
    <row r="26" spans="1:14" x14ac:dyDescent="0.25">
      <c r="A26" s="7"/>
      <c r="B26" s="7"/>
      <c r="C26" s="7"/>
      <c r="D26" s="8"/>
      <c r="E26" s="9"/>
      <c r="F26" s="9"/>
      <c r="G26" s="9"/>
      <c r="H26" s="9"/>
      <c r="I26" s="9"/>
      <c r="J26" s="9"/>
      <c r="K26" s="10"/>
      <c r="L26" s="9"/>
      <c r="M26" s="9"/>
      <c r="N26" s="9"/>
    </row>
    <row r="27" spans="1:14" x14ac:dyDescent="0.25">
      <c r="A27" s="14" t="s">
        <v>22</v>
      </c>
      <c r="B27" s="14"/>
      <c r="C27" s="14"/>
      <c r="D27" s="19"/>
      <c r="E27" s="16"/>
      <c r="F27" s="16">
        <v>152095.864</v>
      </c>
      <c r="G27" s="16">
        <v>8850</v>
      </c>
      <c r="H27" s="16"/>
      <c r="I27" s="16">
        <v>87000</v>
      </c>
      <c r="J27" s="16">
        <v>26550</v>
      </c>
      <c r="K27" s="17"/>
      <c r="L27" s="16"/>
      <c r="M27" s="16">
        <f>SUM(I27,F27,J27,G27)</f>
        <v>274495.864</v>
      </c>
      <c r="N27" s="18"/>
    </row>
    <row r="28" spans="1:14" x14ac:dyDescent="0.25">
      <c r="A28" s="7"/>
      <c r="B28" s="7"/>
      <c r="C28" s="11"/>
      <c r="D28" s="12"/>
      <c r="E28" s="13"/>
      <c r="F28" s="9"/>
      <c r="G28" s="9"/>
      <c r="H28" s="9"/>
      <c r="I28" s="9"/>
      <c r="J28" s="9"/>
      <c r="K28" s="10"/>
      <c r="L28" s="9"/>
      <c r="M28" s="9"/>
      <c r="N28" s="9"/>
    </row>
    <row r="29" spans="1:14" x14ac:dyDescent="0.25">
      <c r="A29" s="7" t="s">
        <v>49</v>
      </c>
      <c r="B29" s="7" t="s">
        <v>50</v>
      </c>
      <c r="C29" s="11">
        <v>46143</v>
      </c>
      <c r="D29" s="12">
        <v>142</v>
      </c>
      <c r="E29" s="13">
        <v>3000</v>
      </c>
      <c r="F29" s="9"/>
      <c r="G29" s="9"/>
      <c r="H29" s="9"/>
      <c r="I29" s="9"/>
      <c r="J29" s="9"/>
      <c r="K29" s="10"/>
      <c r="L29" s="9"/>
      <c r="M29" s="9"/>
      <c r="N29" s="9"/>
    </row>
    <row r="30" spans="1:14" x14ac:dyDescent="0.25">
      <c r="A30" s="7" t="s">
        <v>49</v>
      </c>
      <c r="B30" s="7" t="s">
        <v>51</v>
      </c>
      <c r="C30" s="11" t="s">
        <v>52</v>
      </c>
      <c r="D30" s="12">
        <v>100</v>
      </c>
      <c r="E30" s="13">
        <v>3000</v>
      </c>
      <c r="F30" s="9"/>
      <c r="G30" s="9"/>
      <c r="H30" s="9"/>
      <c r="I30" s="9"/>
      <c r="J30" s="9"/>
      <c r="K30" s="10"/>
      <c r="L30" s="9"/>
      <c r="M30" s="9"/>
      <c r="N30" s="9"/>
    </row>
    <row r="31" spans="1:14" x14ac:dyDescent="0.25">
      <c r="A31" s="7" t="s">
        <v>49</v>
      </c>
      <c r="B31" s="7" t="s">
        <v>53</v>
      </c>
      <c r="C31" s="11" t="s">
        <v>38</v>
      </c>
      <c r="D31" s="12">
        <v>2000</v>
      </c>
      <c r="E31" s="13">
        <v>3000</v>
      </c>
      <c r="F31" s="9"/>
      <c r="G31" s="9"/>
      <c r="H31" s="9"/>
      <c r="I31" s="9"/>
      <c r="J31" s="9"/>
      <c r="K31" s="10"/>
      <c r="L31" s="9"/>
      <c r="M31" s="9"/>
      <c r="N31" s="9"/>
    </row>
    <row r="32" spans="1:14" x14ac:dyDescent="0.25">
      <c r="A32" s="7"/>
      <c r="B32" s="7"/>
      <c r="C32" s="11"/>
      <c r="D32" s="12"/>
      <c r="E32" s="13"/>
      <c r="F32" s="9"/>
      <c r="G32" s="9"/>
      <c r="H32" s="9"/>
      <c r="I32" s="9"/>
      <c r="J32" s="9"/>
      <c r="K32" s="10"/>
      <c r="L32" s="9"/>
      <c r="M32" s="9"/>
      <c r="N32" s="9"/>
    </row>
    <row r="33" spans="1:14" x14ac:dyDescent="0.25">
      <c r="A33" s="14" t="s">
        <v>23</v>
      </c>
      <c r="B33" s="14"/>
      <c r="C33" s="14"/>
      <c r="D33" s="15">
        <f>SUM(D29:D32)</f>
        <v>2242</v>
      </c>
      <c r="E33" s="16">
        <f>SUM(E29:E32)</f>
        <v>9000</v>
      </c>
      <c r="F33" s="16"/>
      <c r="G33" s="16"/>
      <c r="H33" s="16"/>
      <c r="I33" s="16">
        <v>55000</v>
      </c>
      <c r="J33" s="16"/>
      <c r="K33" s="17"/>
      <c r="L33" s="16"/>
      <c r="M33" s="16">
        <f>SUM(I33,E33)</f>
        <v>64000</v>
      </c>
      <c r="N33" s="18"/>
    </row>
    <row r="34" spans="1:14" x14ac:dyDescent="0.25">
      <c r="A34" s="7"/>
      <c r="B34" s="7"/>
      <c r="C34" s="7"/>
      <c r="D34" s="12"/>
      <c r="E34" s="13"/>
      <c r="F34" s="9"/>
      <c r="G34" s="9"/>
      <c r="H34" s="9"/>
      <c r="I34" s="9"/>
      <c r="J34" s="9"/>
      <c r="K34" s="10"/>
      <c r="L34" s="9"/>
      <c r="M34" s="9"/>
      <c r="N34" s="9"/>
    </row>
    <row r="35" spans="1:14" x14ac:dyDescent="0.25">
      <c r="A35" s="7" t="s">
        <v>24</v>
      </c>
      <c r="B35" s="7" t="s">
        <v>54</v>
      </c>
      <c r="C35" s="11" t="s">
        <v>36</v>
      </c>
      <c r="D35" s="12">
        <v>102.85</v>
      </c>
      <c r="E35" s="13">
        <v>3000</v>
      </c>
      <c r="F35" s="9"/>
      <c r="G35" s="9"/>
      <c r="H35" s="9"/>
      <c r="I35" s="9"/>
      <c r="J35" s="9"/>
      <c r="K35" s="10"/>
      <c r="L35" s="9"/>
      <c r="M35" s="9"/>
      <c r="N35" s="9"/>
    </row>
    <row r="36" spans="1:14" x14ac:dyDescent="0.25">
      <c r="A36" s="7" t="s">
        <v>24</v>
      </c>
      <c r="B36" s="7" t="s">
        <v>55</v>
      </c>
      <c r="C36" s="7" t="s">
        <v>56</v>
      </c>
      <c r="D36" s="12">
        <v>100</v>
      </c>
      <c r="E36" s="13">
        <v>3000</v>
      </c>
      <c r="F36" s="9"/>
      <c r="G36" s="9"/>
      <c r="H36" s="9"/>
      <c r="I36" s="9"/>
      <c r="J36" s="9"/>
      <c r="K36" s="10"/>
      <c r="L36" s="9"/>
      <c r="M36" s="9"/>
      <c r="N36" s="9"/>
    </row>
    <row r="37" spans="1:14" x14ac:dyDescent="0.25">
      <c r="A37" s="7" t="s">
        <v>24</v>
      </c>
      <c r="B37" s="7" t="s">
        <v>57</v>
      </c>
      <c r="C37" s="7" t="s">
        <v>38</v>
      </c>
      <c r="D37" s="12">
        <v>100</v>
      </c>
      <c r="E37" s="13">
        <v>3000</v>
      </c>
      <c r="F37" s="9"/>
      <c r="G37" s="9"/>
      <c r="H37" s="9"/>
      <c r="I37" s="9"/>
      <c r="J37" s="9"/>
      <c r="K37" s="10"/>
      <c r="L37" s="9"/>
      <c r="M37" s="9"/>
      <c r="N37" s="9"/>
    </row>
    <row r="38" spans="1:14" x14ac:dyDescent="0.25">
      <c r="A38" s="7"/>
      <c r="B38" s="7"/>
      <c r="C38" s="7"/>
      <c r="D38" s="12"/>
      <c r="E38" s="13"/>
      <c r="F38" s="9"/>
      <c r="G38" s="9"/>
      <c r="H38" s="9"/>
      <c r="I38" s="9"/>
      <c r="J38" s="9"/>
      <c r="K38" s="10"/>
      <c r="L38" s="9"/>
      <c r="M38" s="9"/>
      <c r="N38" s="9"/>
    </row>
    <row r="39" spans="1:14" x14ac:dyDescent="0.25">
      <c r="A39" s="14" t="s">
        <v>24</v>
      </c>
      <c r="B39" s="14"/>
      <c r="C39" s="14"/>
      <c r="D39" s="15">
        <f>SUM(D35:D38)</f>
        <v>302.85000000000002</v>
      </c>
      <c r="E39" s="16">
        <f>SUM(E35:E38)</f>
        <v>9000</v>
      </c>
      <c r="F39" s="16"/>
      <c r="G39" s="16"/>
      <c r="H39" s="16"/>
      <c r="I39" s="16">
        <v>65000</v>
      </c>
      <c r="J39" s="16"/>
      <c r="K39" s="17">
        <v>5000</v>
      </c>
      <c r="L39" s="16"/>
      <c r="M39" s="16">
        <f>SUM(K39,I39,E39)</f>
        <v>79000</v>
      </c>
      <c r="N39" s="18"/>
    </row>
    <row r="40" spans="1:14" x14ac:dyDescent="0.25">
      <c r="A40" s="20"/>
      <c r="B40" s="20"/>
      <c r="C40" s="20"/>
      <c r="D40" s="21"/>
      <c r="E40" s="18"/>
      <c r="F40" s="18"/>
      <c r="G40" s="18"/>
      <c r="H40" s="18"/>
      <c r="I40" s="18"/>
      <c r="J40" s="18"/>
      <c r="K40" s="22"/>
      <c r="L40" s="18"/>
      <c r="M40" s="18"/>
      <c r="N40" s="18"/>
    </row>
    <row r="41" spans="1:14" x14ac:dyDescent="0.25">
      <c r="A41" s="7" t="s">
        <v>25</v>
      </c>
      <c r="B41" s="7" t="s">
        <v>58</v>
      </c>
      <c r="C41" s="11">
        <v>46082</v>
      </c>
      <c r="D41" s="12">
        <v>100</v>
      </c>
      <c r="E41" s="13">
        <v>3000</v>
      </c>
      <c r="F41" s="18"/>
      <c r="G41" s="18"/>
      <c r="H41" s="18"/>
      <c r="I41" s="18"/>
      <c r="J41" s="18"/>
      <c r="K41" s="22"/>
      <c r="L41" s="18"/>
      <c r="M41" s="18"/>
      <c r="N41" s="18"/>
    </row>
    <row r="42" spans="1:14" x14ac:dyDescent="0.25">
      <c r="A42" s="7" t="s">
        <v>25</v>
      </c>
      <c r="B42" s="7" t="s">
        <v>59</v>
      </c>
      <c r="C42" s="11">
        <v>45778</v>
      </c>
      <c r="D42" s="12">
        <v>100</v>
      </c>
      <c r="E42" s="13">
        <v>3000</v>
      </c>
      <c r="F42" s="18"/>
      <c r="G42" s="18"/>
      <c r="H42" s="18"/>
      <c r="I42" s="18"/>
      <c r="J42" s="18"/>
      <c r="K42" s="22"/>
      <c r="L42" s="18"/>
      <c r="M42" s="18"/>
      <c r="N42" s="18"/>
    </row>
    <row r="43" spans="1:14" x14ac:dyDescent="0.25">
      <c r="A43" s="7" t="s">
        <v>25</v>
      </c>
      <c r="B43" s="7" t="s">
        <v>60</v>
      </c>
      <c r="C43" s="11">
        <v>46143</v>
      </c>
      <c r="D43" s="12">
        <v>100</v>
      </c>
      <c r="E43" s="13">
        <v>3000</v>
      </c>
      <c r="F43" s="18"/>
      <c r="G43" s="18"/>
      <c r="H43" s="18"/>
      <c r="I43" s="18"/>
      <c r="J43" s="18"/>
      <c r="K43" s="22"/>
      <c r="L43" s="18"/>
      <c r="M43" s="18"/>
      <c r="N43" s="18"/>
    </row>
    <row r="44" spans="1:14" x14ac:dyDescent="0.25">
      <c r="A44" s="7" t="s">
        <v>25</v>
      </c>
      <c r="B44" s="7" t="s">
        <v>61</v>
      </c>
      <c r="C44" s="11">
        <v>46174</v>
      </c>
      <c r="D44" s="12">
        <v>100</v>
      </c>
      <c r="E44" s="13">
        <v>3000</v>
      </c>
      <c r="F44" s="18"/>
      <c r="G44" s="18"/>
      <c r="H44" s="18"/>
      <c r="I44" s="18"/>
      <c r="J44" s="18"/>
      <c r="K44" s="22"/>
      <c r="L44" s="18"/>
      <c r="M44" s="18"/>
      <c r="N44" s="18"/>
    </row>
    <row r="45" spans="1:14" x14ac:dyDescent="0.25">
      <c r="A45" s="7" t="s">
        <v>25</v>
      </c>
      <c r="B45" s="7" t="s">
        <v>62</v>
      </c>
      <c r="C45" s="11">
        <v>46235</v>
      </c>
      <c r="D45" s="12">
        <v>100</v>
      </c>
      <c r="E45" s="13">
        <v>3000</v>
      </c>
      <c r="F45" s="18"/>
      <c r="G45" s="18"/>
      <c r="H45" s="18"/>
      <c r="I45" s="18"/>
      <c r="J45" s="18"/>
      <c r="K45" s="22"/>
      <c r="L45" s="18"/>
      <c r="M45" s="18"/>
      <c r="N45" s="18"/>
    </row>
    <row r="46" spans="1:14" x14ac:dyDescent="0.25">
      <c r="A46" s="7" t="s">
        <v>25</v>
      </c>
      <c r="B46" s="7" t="s">
        <v>63</v>
      </c>
      <c r="C46" s="11" t="s">
        <v>32</v>
      </c>
      <c r="D46" s="12">
        <v>240</v>
      </c>
      <c r="E46" s="13">
        <v>3000</v>
      </c>
      <c r="F46" s="18"/>
      <c r="G46" s="18"/>
      <c r="H46" s="18"/>
      <c r="I46" s="18"/>
      <c r="J46" s="18"/>
      <c r="K46" s="22"/>
      <c r="L46" s="18"/>
      <c r="M46" s="18"/>
      <c r="N46" s="18"/>
    </row>
    <row r="47" spans="1:14" x14ac:dyDescent="0.25">
      <c r="A47" s="7" t="s">
        <v>25</v>
      </c>
      <c r="B47" s="7" t="s">
        <v>64</v>
      </c>
      <c r="C47" s="11" t="s">
        <v>38</v>
      </c>
      <c r="D47" s="12">
        <v>100</v>
      </c>
      <c r="E47" s="13">
        <v>3000</v>
      </c>
      <c r="F47" s="18"/>
      <c r="G47" s="18"/>
      <c r="H47" s="18"/>
      <c r="I47" s="18"/>
      <c r="J47" s="18"/>
      <c r="K47" s="22"/>
      <c r="L47" s="18"/>
      <c r="M47" s="18"/>
      <c r="N47" s="18"/>
    </row>
    <row r="48" spans="1:14" x14ac:dyDescent="0.25">
      <c r="A48" s="7" t="s">
        <v>25</v>
      </c>
      <c r="B48" s="7" t="s">
        <v>65</v>
      </c>
      <c r="C48" s="11" t="s">
        <v>36</v>
      </c>
      <c r="D48" s="12">
        <v>249</v>
      </c>
      <c r="E48" s="13">
        <v>6000</v>
      </c>
      <c r="F48" s="18"/>
      <c r="G48" s="18"/>
      <c r="H48" s="18"/>
      <c r="I48" s="18"/>
      <c r="J48" s="18"/>
      <c r="K48" s="22"/>
      <c r="L48" s="18"/>
      <c r="M48" s="18"/>
      <c r="N48" s="18"/>
    </row>
    <row r="49" spans="1:14" x14ac:dyDescent="0.25">
      <c r="A49" s="7"/>
      <c r="B49" s="7"/>
      <c r="C49" s="11"/>
      <c r="D49" s="12"/>
      <c r="E49" s="13"/>
      <c r="F49" s="18"/>
      <c r="G49" s="18"/>
      <c r="H49" s="18"/>
      <c r="I49" s="18"/>
      <c r="J49" s="18"/>
      <c r="K49" s="22"/>
      <c r="L49" s="18"/>
      <c r="M49" s="18"/>
      <c r="N49" s="18"/>
    </row>
    <row r="50" spans="1:14" x14ac:dyDescent="0.25">
      <c r="A50" s="14" t="s">
        <v>25</v>
      </c>
      <c r="B50" s="14"/>
      <c r="C50" s="14"/>
      <c r="D50" s="15">
        <f>SUM(D41:D49)</f>
        <v>1089</v>
      </c>
      <c r="E50" s="16">
        <f>SUM(E41:E49)</f>
        <v>27000</v>
      </c>
      <c r="F50" s="16"/>
      <c r="G50" s="16">
        <v>7000</v>
      </c>
      <c r="H50" s="16">
        <v>6000</v>
      </c>
      <c r="I50" s="16">
        <v>44000</v>
      </c>
      <c r="J50" s="16"/>
      <c r="K50" s="17"/>
      <c r="L50" s="16"/>
      <c r="M50" s="16">
        <f>SUM(I50,H50,G50,E50)</f>
        <v>84000</v>
      </c>
      <c r="N50" s="18"/>
    </row>
    <row r="51" spans="1:14" x14ac:dyDescent="0.25">
      <c r="A51" s="20"/>
      <c r="B51" s="20"/>
      <c r="C51" s="20"/>
      <c r="D51" s="21"/>
      <c r="E51" s="18"/>
      <c r="F51" s="18"/>
      <c r="G51" s="18"/>
      <c r="H51" s="18"/>
      <c r="I51" s="18"/>
      <c r="J51" s="18"/>
      <c r="K51" s="22"/>
      <c r="L51" s="18"/>
      <c r="M51" s="18"/>
      <c r="N51" s="18"/>
    </row>
    <row r="52" spans="1:14" x14ac:dyDescent="0.25">
      <c r="A52" s="7" t="s">
        <v>26</v>
      </c>
      <c r="B52" s="7" t="s">
        <v>66</v>
      </c>
      <c r="C52" s="11" t="s">
        <v>67</v>
      </c>
      <c r="D52" s="12">
        <v>100</v>
      </c>
      <c r="E52" s="13">
        <v>3000</v>
      </c>
      <c r="F52" s="18"/>
      <c r="G52" s="18"/>
      <c r="H52" s="18"/>
      <c r="I52" s="18"/>
      <c r="J52" s="18"/>
      <c r="K52" s="22"/>
      <c r="L52" s="18"/>
      <c r="M52" s="18"/>
      <c r="N52" s="18"/>
    </row>
    <row r="53" spans="1:14" x14ac:dyDescent="0.25">
      <c r="A53" s="7" t="s">
        <v>26</v>
      </c>
      <c r="B53" s="7" t="s">
        <v>68</v>
      </c>
      <c r="C53" s="7" t="s">
        <v>69</v>
      </c>
      <c r="D53" s="12">
        <v>250</v>
      </c>
      <c r="E53" s="13">
        <v>6000</v>
      </c>
      <c r="F53" s="18"/>
      <c r="G53" s="18"/>
      <c r="H53" s="18"/>
      <c r="I53" s="18"/>
      <c r="J53" s="18"/>
      <c r="K53" s="22"/>
      <c r="L53" s="18"/>
      <c r="M53" s="18"/>
      <c r="N53" s="18"/>
    </row>
    <row r="54" spans="1:14" x14ac:dyDescent="0.25">
      <c r="A54" s="7" t="s">
        <v>26</v>
      </c>
      <c r="B54" s="7" t="s">
        <v>70</v>
      </c>
      <c r="C54" s="7" t="s">
        <v>71</v>
      </c>
      <c r="D54" s="12">
        <v>100</v>
      </c>
      <c r="E54" s="13">
        <v>3000</v>
      </c>
      <c r="F54" s="18"/>
      <c r="G54" s="18"/>
      <c r="H54" s="18"/>
      <c r="I54" s="18"/>
      <c r="J54" s="18"/>
      <c r="K54" s="22"/>
      <c r="L54" s="18"/>
      <c r="M54" s="18"/>
      <c r="N54" s="18"/>
    </row>
    <row r="55" spans="1:14" x14ac:dyDescent="0.25">
      <c r="A55" s="7"/>
      <c r="B55" s="7"/>
      <c r="C55" s="7"/>
      <c r="D55" s="12"/>
      <c r="E55" s="13"/>
      <c r="F55" s="18"/>
      <c r="G55" s="18"/>
      <c r="H55" s="18"/>
      <c r="I55" s="18"/>
      <c r="J55" s="18"/>
      <c r="K55" s="22"/>
      <c r="L55" s="18"/>
      <c r="M55" s="18"/>
      <c r="N55" s="18"/>
    </row>
    <row r="56" spans="1:14" x14ac:dyDescent="0.25">
      <c r="A56" s="14" t="s">
        <v>26</v>
      </c>
      <c r="B56" s="14"/>
      <c r="C56" s="14"/>
      <c r="D56" s="15">
        <f>SUM(D52:D55)</f>
        <v>450</v>
      </c>
      <c r="E56" s="23">
        <f>SUM(E52:E55)</f>
        <v>12000</v>
      </c>
      <c r="F56" s="16">
        <v>1356.26</v>
      </c>
      <c r="G56" s="16"/>
      <c r="H56" s="16"/>
      <c r="I56" s="16">
        <v>56000</v>
      </c>
      <c r="J56" s="16"/>
      <c r="K56" s="17"/>
      <c r="L56" s="16"/>
      <c r="M56" s="16">
        <f>SUM(I56,F56,E56)</f>
        <v>69356.260000000009</v>
      </c>
      <c r="N56" s="18"/>
    </row>
    <row r="57" spans="1:14" x14ac:dyDescent="0.25">
      <c r="A57" s="20"/>
      <c r="B57" s="20"/>
      <c r="C57" s="20"/>
      <c r="D57" s="24"/>
      <c r="E57" s="25"/>
      <c r="F57" s="18"/>
      <c r="G57" s="18"/>
      <c r="H57" s="18"/>
      <c r="I57" s="18"/>
      <c r="J57" s="18"/>
      <c r="K57" s="22"/>
      <c r="L57" s="18"/>
      <c r="M57" s="18"/>
      <c r="N57" s="18"/>
    </row>
    <row r="58" spans="1:14" x14ac:dyDescent="0.25">
      <c r="A58" s="7" t="s">
        <v>72</v>
      </c>
      <c r="B58" s="7" t="s">
        <v>73</v>
      </c>
      <c r="C58" s="11" t="s">
        <v>74</v>
      </c>
      <c r="D58" s="12">
        <v>10</v>
      </c>
      <c r="E58" s="13"/>
      <c r="F58" s="18"/>
      <c r="G58" s="18"/>
      <c r="H58" s="18"/>
      <c r="I58" s="18"/>
      <c r="J58" s="18"/>
      <c r="K58" s="22"/>
      <c r="L58" s="18"/>
      <c r="M58" s="18"/>
      <c r="N58" s="18"/>
    </row>
    <row r="59" spans="1:14" x14ac:dyDescent="0.25">
      <c r="A59" s="14" t="s">
        <v>27</v>
      </c>
      <c r="B59" s="14"/>
      <c r="C59" s="14"/>
      <c r="D59" s="15">
        <f>SUM(D58:D58)</f>
        <v>10</v>
      </c>
      <c r="E59" s="23">
        <f>SUM(E58:E58)</f>
        <v>0</v>
      </c>
      <c r="F59" s="16"/>
      <c r="G59" s="16"/>
      <c r="H59" s="16"/>
      <c r="I59" s="16">
        <v>40000</v>
      </c>
      <c r="J59" s="16"/>
      <c r="K59" s="17"/>
      <c r="L59" s="16"/>
      <c r="M59" s="16">
        <f>SUM(I59,E59)</f>
        <v>40000</v>
      </c>
      <c r="N59" s="18"/>
    </row>
    <row r="60" spans="1:14" x14ac:dyDescent="0.25">
      <c r="A60" s="14" t="s">
        <v>28</v>
      </c>
      <c r="B60" s="14"/>
      <c r="C60" s="14"/>
      <c r="D60" s="15"/>
      <c r="E60" s="23"/>
      <c r="F60" s="16"/>
      <c r="G60" s="16"/>
      <c r="H60" s="16"/>
      <c r="I60" s="16">
        <v>6916.66</v>
      </c>
      <c r="J60" s="16"/>
      <c r="K60" s="17"/>
      <c r="L60" s="16"/>
      <c r="M60" s="16">
        <f>SUM(I60)</f>
        <v>6916.66</v>
      </c>
      <c r="N60" s="18"/>
    </row>
    <row r="61" spans="1:14" x14ac:dyDescent="0.25">
      <c r="A61" s="26"/>
      <c r="B61" s="26"/>
      <c r="C61" s="26"/>
      <c r="D61" s="15">
        <f>SUM(D39,D33,D27,D25,D19,D12,D50,D56,D59)</f>
        <v>6910.84</v>
      </c>
      <c r="E61" s="27">
        <f>SUM(E39,E33,E27,E25,E19,E12,E56,E50,E59)</f>
        <v>114000</v>
      </c>
      <c r="F61" s="27"/>
      <c r="G61" s="26"/>
      <c r="H61" s="26"/>
      <c r="I61" s="27">
        <f>SUM(I12:I60)</f>
        <v>578916.66</v>
      </c>
      <c r="J61" s="27"/>
      <c r="K61" s="28">
        <f>SUM(K12:K60)</f>
        <v>15000</v>
      </c>
      <c r="L61" s="18"/>
      <c r="M61" s="26"/>
      <c r="N61" s="16">
        <f>SUM(M56,M50,M39,M33,M27,M25,M19,M12,M60,M59)</f>
        <v>1060054.2540000002</v>
      </c>
    </row>
  </sheetData>
  <mergeCells count="1">
    <mergeCell ref="A1:N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2026-02-09T12:52:01Z</dcterms:created>
  <dcterms:modified xsi:type="dcterms:W3CDTF">2026-04-30T05:13:07Z</dcterms:modified>
</cp:coreProperties>
</file>