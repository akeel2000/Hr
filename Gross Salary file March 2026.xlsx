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5942FBA-76E2-436E-9B1B-19490B0C6BAB}" xr6:coauthVersionLast="47" xr6:coauthVersionMax="47" xr10:uidLastSave="{00000000-0000-0000-0000-000000000000}"/>
  <bookViews>
    <workbookView xWindow="-109" yWindow="-109" windowWidth="26301" windowHeight="14169" xr2:uid="{ED747577-5FE3-44BD-B2CD-8E93FB26736B}"/>
  </bookViews>
  <sheets>
    <sheet name="Sheet1" sheetId="1" r:id="rId1"/>
  </sheets>
  <definedNames>
    <definedName name="_xlnm._FilterDatabase" localSheetId="0" hidden="1">Sheet1!$A$1:$A$45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N23" i="1" s="1"/>
  <c r="I45" i="1"/>
  <c r="N28" i="1"/>
  <c r="N25" i="1"/>
  <c r="E12" i="1"/>
  <c r="N12" i="1" s="1"/>
  <c r="N43" i="1"/>
  <c r="E42" i="1"/>
  <c r="D42" i="1"/>
  <c r="N39" i="1"/>
  <c r="D39" i="1"/>
  <c r="E35" i="1"/>
  <c r="N35" i="1" s="1"/>
  <c r="D35" i="1"/>
  <c r="D28" i="1"/>
  <c r="D23" i="1"/>
  <c r="E15" i="1"/>
  <c r="N15" i="1" s="1"/>
  <c r="D15" i="1"/>
  <c r="D12" i="1"/>
  <c r="D45" i="1" l="1"/>
  <c r="E45" i="1"/>
  <c r="N42" i="1"/>
  <c r="O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K12" authorId="0" shapeId="0" xr:uid="{2E08B7B7-E232-4DD8-9C42-826EE2621CA7}">
      <text>
        <r>
          <rPr>
            <b/>
            <sz val="9"/>
            <color indexed="81"/>
            <rFont val="Tahoma"/>
            <charset val="1"/>
          </rPr>
          <t xml:space="preserve">Team achivement for the month of February
</t>
        </r>
      </text>
    </comment>
    <comment ref="F15" authorId="0" shapeId="0" xr:uid="{C1462D2E-6BE1-4C03-B0D4-8CE23DB5C26A}">
      <text>
        <r>
          <rPr>
            <b/>
            <sz val="9"/>
            <color indexed="81"/>
            <rFont val="Tahoma"/>
            <family val="2"/>
          </rPr>
          <t xml:space="preserve">Total Lots 440.9384
300*1=$300
140.9384*0.9=$126.844
total = 300+126.844=125,918.98 LKR
</t>
        </r>
      </text>
    </comment>
    <comment ref="J15" authorId="0" shapeId="0" xr:uid="{8245EB39-A843-46C7-8F41-47B56A91DF97}">
      <text>
        <r>
          <rPr>
            <b/>
            <sz val="9"/>
            <color indexed="81"/>
            <rFont val="Tahoma"/>
            <family val="2"/>
          </rPr>
          <t xml:space="preserve">300 lots tier </t>
        </r>
      </text>
    </comment>
    <comment ref="F25" authorId="0" shapeId="0" xr:uid="{CA8F2639-DADC-4920-8249-81008D91AF3D}">
      <text>
        <r>
          <rPr>
            <b/>
            <sz val="9"/>
            <color indexed="81"/>
            <rFont val="Tahoma"/>
            <family val="2"/>
          </rPr>
          <t xml:space="preserve">total lots in standard a/c=560.0961
lots in ECN= 112.39
300*1=$300
200*0.9=$180
60.0961*1=$60.0961
112.39*0.1=$11.239
total in $=$551.3351
Total in LKR = 162,643.8545 LKR
</t>
        </r>
      </text>
    </comment>
    <comment ref="J25" authorId="0" shapeId="0" xr:uid="{016F50B0-550E-4C8B-A2B1-E07D69D36D5F}">
      <text>
        <r>
          <rPr>
            <b/>
            <sz val="9"/>
            <color indexed="81"/>
            <rFont val="Tahoma"/>
            <family val="2"/>
          </rPr>
          <t>300 tier hit 
600 tier hit</t>
        </r>
      </text>
    </comment>
    <comment ref="K25" authorId="0" shapeId="0" xr:uid="{3915C675-47EF-43FA-B1C2-CB8A2A7F40AA}">
      <text>
        <r>
          <rPr>
            <b/>
            <sz val="9"/>
            <color indexed="81"/>
            <rFont val="Tahoma"/>
            <family val="2"/>
          </rPr>
          <t xml:space="preserve">100 lots in 2 days 
30th and 31st offer </t>
        </r>
      </text>
    </comment>
    <comment ref="I35" authorId="0" shapeId="0" xr:uid="{8DF812BD-4459-4B11-8430-992BA5FAD53B}">
      <text>
        <r>
          <rPr>
            <b/>
            <sz val="9"/>
            <color indexed="81"/>
            <rFont val="Tahoma"/>
            <charset val="1"/>
          </rPr>
          <t xml:space="preserve">7 days leave
10k advance 
</t>
        </r>
      </text>
    </comment>
    <comment ref="I39" authorId="0" shapeId="0" xr:uid="{7D109865-7D45-415D-81E7-FD0A9E47AAC1}">
      <text>
        <r>
          <rPr>
            <b/>
            <sz val="9"/>
            <color indexed="81"/>
            <rFont val="Tahoma"/>
            <charset val="1"/>
          </rPr>
          <t>5 days leave</t>
        </r>
      </text>
    </comment>
    <comment ref="I42" authorId="0" shapeId="0" xr:uid="{478C2ADB-21ED-4122-BFD5-DF7D9F219143}">
      <text>
        <r>
          <rPr>
            <b/>
            <sz val="9"/>
            <color indexed="81"/>
            <rFont val="Tahoma"/>
            <family val="2"/>
          </rPr>
          <t>17.5 days leave</t>
        </r>
      </text>
    </comment>
    <comment ref="I43" authorId="0" shapeId="0" xr:uid="{5194F4F8-4046-4640-93A9-C4B6375348A3}">
      <text>
        <r>
          <rPr>
            <b/>
            <sz val="9"/>
            <color indexed="81"/>
            <rFont val="Tahoma"/>
            <family val="2"/>
          </rPr>
          <t>8 days deduction. She joined on 9th of March)</t>
        </r>
      </text>
    </comment>
  </commentList>
</comments>
</file>

<file path=xl/sharedStrings.xml><?xml version="1.0" encoding="utf-8"?>
<sst xmlns="http://schemas.openxmlformats.org/spreadsheetml/2006/main" count="95" uniqueCount="65">
  <si>
    <t>Total No.of Sales &amp; Salary Expenses for the Month of FEBRUARY 2026 (Only Agents &amp; Employees)</t>
  </si>
  <si>
    <t>Retention</t>
  </si>
  <si>
    <t>Target</t>
  </si>
  <si>
    <t>2nd Target</t>
  </si>
  <si>
    <t>Thresholds for</t>
  </si>
  <si>
    <t xml:space="preserve">Weekly </t>
  </si>
  <si>
    <t>Attendance</t>
  </si>
  <si>
    <t>EPF</t>
  </si>
  <si>
    <t>Grand</t>
  </si>
  <si>
    <t>Agent Name</t>
  </si>
  <si>
    <t>Client Name</t>
  </si>
  <si>
    <t>Date of FTD</t>
  </si>
  <si>
    <t>FTD</t>
  </si>
  <si>
    <t>Comission</t>
  </si>
  <si>
    <t>Achievement</t>
  </si>
  <si>
    <t>Basic</t>
  </si>
  <si>
    <t xml:space="preserve">Milestones </t>
  </si>
  <si>
    <t>Acheivement</t>
  </si>
  <si>
    <t>Bonus</t>
  </si>
  <si>
    <t>Deduction</t>
  </si>
  <si>
    <t>Total</t>
  </si>
  <si>
    <t>Dharshan</t>
  </si>
  <si>
    <t>Vinoth</t>
  </si>
  <si>
    <t>Dileepan</t>
  </si>
  <si>
    <t>Riya</t>
  </si>
  <si>
    <t>Sakeer</t>
  </si>
  <si>
    <t>Akash</t>
  </si>
  <si>
    <t>Aahila</t>
  </si>
  <si>
    <t>Nazeem</t>
  </si>
  <si>
    <t>Nabeel</t>
  </si>
  <si>
    <t>Rishiyanth</t>
  </si>
  <si>
    <t>Karthick</t>
  </si>
  <si>
    <t>14/3/2026</t>
  </si>
  <si>
    <t>Prakash</t>
  </si>
  <si>
    <t>18/3/2026</t>
  </si>
  <si>
    <t xml:space="preserve">Dharshan </t>
  </si>
  <si>
    <t>Roshan</t>
  </si>
  <si>
    <t>23/3/2026</t>
  </si>
  <si>
    <t>Priyavarshan</t>
  </si>
  <si>
    <t>Suraj Silva</t>
  </si>
  <si>
    <t>30/3/2026</t>
  </si>
  <si>
    <t>Suresh Babu</t>
  </si>
  <si>
    <t>Neetu Bakshi</t>
  </si>
  <si>
    <t xml:space="preserve">Thileeban </t>
  </si>
  <si>
    <t xml:space="preserve">Nadeesha </t>
  </si>
  <si>
    <t>Pradeep</t>
  </si>
  <si>
    <t xml:space="preserve">Jayantha Kinigma </t>
  </si>
  <si>
    <t>Bala Mayooran</t>
  </si>
  <si>
    <t>16/3/2026</t>
  </si>
  <si>
    <t>Prasanna</t>
  </si>
  <si>
    <t>17/3/2026</t>
  </si>
  <si>
    <t>Madhubashini</t>
  </si>
  <si>
    <t>Hemal Parikh</t>
  </si>
  <si>
    <t>28/3/2026</t>
  </si>
  <si>
    <t>Akbar</t>
  </si>
  <si>
    <t>Mohan</t>
  </si>
  <si>
    <t>Sharadab</t>
  </si>
  <si>
    <t>Ashok Sewiretna</t>
  </si>
  <si>
    <t>21/3/2026</t>
  </si>
  <si>
    <t>Arun</t>
  </si>
  <si>
    <t>Niraj</t>
  </si>
  <si>
    <t>Ranjani Disanayake</t>
  </si>
  <si>
    <t>31/3/2026</t>
  </si>
  <si>
    <t>Kasun</t>
  </si>
  <si>
    <t xml:space="preserve">Arshana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</si>
</sst>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Rs-846]\ #,##0.00"/>
    <numFmt numFmtId="165" formatCode="_-[$Rs.-849]\ * #,##0.00_-;\-[$Rs.-849]\ * #,##0.00_-;_-[$Rs.-849]\ * &quot;-&quot;??_-;_-@_-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44" fontId="4" fillId="2" borderId="1" xfId="1" applyFont="1" applyFill="1" applyBorder="1" applyAlignment="1" applyProtection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44" fontId="4" fillId="2" borderId="1" xfId="1" applyFont="1" applyFill="1" applyBorder="1" applyAlignment="1" applyProtection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165" fontId="0" fillId="3" borderId="1" xfId="0" applyNumberFormat="1" applyFill="1" applyBorder="1"/>
    <xf numFmtId="0" fontId="2" fillId="4" borderId="1" xfId="0" applyFont="1" applyFill="1" applyBorder="1" applyAlignment="1">
      <alignment horizontal="center"/>
    </xf>
    <xf numFmtId="166" fontId="2" fillId="4" borderId="1" xfId="1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vertical="center"/>
    </xf>
    <xf numFmtId="0" fontId="4" fillId="3" borderId="1" xfId="0" applyFont="1" applyFill="1" applyBorder="1" applyAlignment="1">
      <alignment horizontal="center" vertical="top"/>
    </xf>
    <xf numFmtId="44" fontId="4" fillId="3" borderId="1" xfId="1" applyFont="1" applyFill="1" applyBorder="1" applyAlignment="1" applyProtection="1">
      <alignment horizontal="center" vertical="top"/>
    </xf>
    <xf numFmtId="164" fontId="4" fillId="3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6E7C-B9C8-424A-8EB2-EDBAAD40B5FC}">
  <dimension ref="A1:O45"/>
  <sheetViews>
    <sheetView tabSelected="1" zoomScale="90" zoomScaleNormal="90" workbookViewId="0">
      <selection activeCell="J8" sqref="J8"/>
    </sheetView>
  </sheetViews>
  <sheetFormatPr defaultRowHeight="14.3" x14ac:dyDescent="0.25"/>
  <cols>
    <col min="1" max="1" width="17.75" customWidth="1"/>
    <col min="2" max="2" width="24.125" customWidth="1"/>
    <col min="3" max="3" width="15.75" customWidth="1"/>
    <col min="4" max="4" width="16.5" customWidth="1"/>
    <col min="5" max="5" width="16.625" customWidth="1"/>
    <col min="6" max="6" width="18.875" customWidth="1"/>
    <col min="7" max="7" width="14.25" customWidth="1"/>
    <col min="8" max="8" width="15.25" customWidth="1"/>
    <col min="9" max="9" width="16.5" customWidth="1"/>
    <col min="10" max="10" width="16.875" customWidth="1"/>
    <col min="11" max="11" width="18.125" customWidth="1"/>
    <col min="12" max="12" width="15.375" customWidth="1"/>
    <col min="13" max="13" width="10.75" customWidth="1"/>
    <col min="14" max="14" width="17.75" customWidth="1"/>
    <col min="15" max="15" width="18" customWidth="1"/>
  </cols>
  <sheetData>
    <row r="1" spans="1:15" ht="21.75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16.3" x14ac:dyDescent="0.3">
      <c r="A2" s="1"/>
      <c r="B2" s="1"/>
      <c r="C2" s="1"/>
      <c r="D2" s="2"/>
      <c r="E2" s="1"/>
      <c r="F2" s="1" t="s">
        <v>1</v>
      </c>
      <c r="G2" s="1" t="s">
        <v>2</v>
      </c>
      <c r="H2" s="1" t="s">
        <v>3</v>
      </c>
      <c r="I2" s="1"/>
      <c r="J2" s="1" t="s">
        <v>4</v>
      </c>
      <c r="K2" s="1" t="s">
        <v>5</v>
      </c>
      <c r="L2" s="3" t="s">
        <v>6</v>
      </c>
      <c r="M2" s="1" t="s">
        <v>7</v>
      </c>
      <c r="N2" s="1"/>
      <c r="O2" s="1" t="s">
        <v>8</v>
      </c>
    </row>
    <row r="3" spans="1:15" ht="16.3" x14ac:dyDescent="0.25">
      <c r="A3" s="4" t="s">
        <v>9</v>
      </c>
      <c r="B3" s="4" t="s">
        <v>10</v>
      </c>
      <c r="C3" s="4" t="s">
        <v>11</v>
      </c>
      <c r="D3" s="5" t="s">
        <v>12</v>
      </c>
      <c r="E3" s="4" t="s">
        <v>13</v>
      </c>
      <c r="F3" s="4" t="s">
        <v>13</v>
      </c>
      <c r="G3" s="4" t="s">
        <v>14</v>
      </c>
      <c r="H3" s="4" t="s">
        <v>14</v>
      </c>
      <c r="I3" s="4" t="s">
        <v>15</v>
      </c>
      <c r="J3" s="4" t="s">
        <v>16</v>
      </c>
      <c r="K3" s="4" t="s">
        <v>17</v>
      </c>
      <c r="L3" s="6" t="s">
        <v>18</v>
      </c>
      <c r="M3" s="4" t="s">
        <v>19</v>
      </c>
      <c r="N3" s="4" t="s">
        <v>20</v>
      </c>
      <c r="O3" s="4" t="s">
        <v>20</v>
      </c>
    </row>
    <row r="4" spans="1:15" ht="16.3" x14ac:dyDescent="0.25">
      <c r="A4" s="31"/>
      <c r="B4" s="31"/>
      <c r="C4" s="31"/>
      <c r="D4" s="32"/>
      <c r="E4" s="31"/>
      <c r="F4" s="31"/>
      <c r="G4" s="31"/>
      <c r="H4" s="31"/>
      <c r="I4" s="31"/>
      <c r="J4" s="31"/>
      <c r="K4" s="31"/>
      <c r="L4" s="33"/>
      <c r="M4" s="31"/>
      <c r="N4" s="31"/>
      <c r="O4" s="31"/>
    </row>
    <row r="5" spans="1:15" x14ac:dyDescent="0.25">
      <c r="A5" s="27" t="s">
        <v>21</v>
      </c>
      <c r="B5" s="27" t="s">
        <v>30</v>
      </c>
      <c r="C5" s="28">
        <v>46176</v>
      </c>
      <c r="D5" s="29">
        <v>100</v>
      </c>
      <c r="E5" s="30">
        <v>3000</v>
      </c>
      <c r="F5" s="9"/>
      <c r="G5" s="9"/>
      <c r="H5" s="9"/>
      <c r="I5" s="9"/>
      <c r="J5" s="9"/>
      <c r="K5" s="9"/>
      <c r="L5" s="10"/>
      <c r="M5" s="9"/>
      <c r="N5" s="9"/>
      <c r="O5" s="9"/>
    </row>
    <row r="6" spans="1:15" x14ac:dyDescent="0.25">
      <c r="A6" s="27" t="s">
        <v>21</v>
      </c>
      <c r="B6" s="27" t="s">
        <v>31</v>
      </c>
      <c r="C6" s="28" t="s">
        <v>32</v>
      </c>
      <c r="D6" s="29">
        <v>198</v>
      </c>
      <c r="E6" s="30">
        <v>3000</v>
      </c>
      <c r="F6" s="9"/>
      <c r="G6" s="9"/>
      <c r="H6" s="9"/>
      <c r="I6" s="9"/>
      <c r="J6" s="9"/>
      <c r="K6" s="9"/>
      <c r="L6" s="10"/>
      <c r="M6" s="9"/>
      <c r="N6" s="9"/>
      <c r="O6" s="9"/>
    </row>
    <row r="7" spans="1:15" x14ac:dyDescent="0.25">
      <c r="A7" s="27" t="s">
        <v>21</v>
      </c>
      <c r="B7" s="27" t="s">
        <v>33</v>
      </c>
      <c r="C7" s="28" t="s">
        <v>34</v>
      </c>
      <c r="D7" s="29">
        <v>332</v>
      </c>
      <c r="E7" s="30">
        <v>6000</v>
      </c>
      <c r="F7" s="9"/>
      <c r="G7" s="9"/>
      <c r="H7" s="9"/>
      <c r="I7" s="9"/>
      <c r="J7" s="9"/>
      <c r="K7" s="9"/>
      <c r="L7" s="10"/>
      <c r="M7" s="9"/>
      <c r="N7" s="9"/>
      <c r="O7" s="9"/>
    </row>
    <row r="8" spans="1:15" x14ac:dyDescent="0.25">
      <c r="A8" s="27" t="s">
        <v>35</v>
      </c>
      <c r="B8" s="27" t="s">
        <v>36</v>
      </c>
      <c r="C8" s="28" t="s">
        <v>37</v>
      </c>
      <c r="D8" s="29">
        <v>100</v>
      </c>
      <c r="E8" s="30">
        <v>3000</v>
      </c>
      <c r="F8" s="9"/>
      <c r="G8" s="9"/>
      <c r="H8" s="9"/>
      <c r="I8" s="9"/>
      <c r="J8" s="9"/>
      <c r="K8" s="9"/>
      <c r="L8" s="10"/>
      <c r="M8" s="9"/>
      <c r="N8" s="9"/>
      <c r="O8" s="9"/>
    </row>
    <row r="9" spans="1:15" x14ac:dyDescent="0.25">
      <c r="A9" s="7" t="s">
        <v>21</v>
      </c>
      <c r="B9" s="7" t="s">
        <v>38</v>
      </c>
      <c r="C9" s="7" t="s">
        <v>37</v>
      </c>
      <c r="D9" s="12">
        <v>105</v>
      </c>
      <c r="E9" s="13">
        <v>3000</v>
      </c>
      <c r="F9" s="9"/>
      <c r="G9" s="9"/>
      <c r="H9" s="9"/>
      <c r="I9" s="9"/>
      <c r="J9" s="9"/>
      <c r="K9" s="9"/>
      <c r="L9" s="10"/>
      <c r="M9" s="9"/>
      <c r="N9" s="9"/>
      <c r="O9" s="9"/>
    </row>
    <row r="10" spans="1:15" x14ac:dyDescent="0.25">
      <c r="A10" s="7" t="s">
        <v>21</v>
      </c>
      <c r="B10" s="7" t="s">
        <v>39</v>
      </c>
      <c r="C10" s="7" t="s">
        <v>40</v>
      </c>
      <c r="D10" s="12">
        <v>100</v>
      </c>
      <c r="E10" s="13">
        <v>3000</v>
      </c>
      <c r="F10" s="9"/>
      <c r="G10" s="9"/>
      <c r="H10" s="9"/>
      <c r="I10" s="9"/>
      <c r="J10" s="9"/>
      <c r="K10" s="9"/>
      <c r="L10" s="10"/>
      <c r="M10" s="9"/>
      <c r="N10" s="9"/>
      <c r="O10" s="9"/>
    </row>
    <row r="11" spans="1:15" x14ac:dyDescent="0.25">
      <c r="A11" s="7" t="s">
        <v>21</v>
      </c>
      <c r="B11" s="7" t="s">
        <v>41</v>
      </c>
      <c r="C11" s="7" t="s">
        <v>40</v>
      </c>
      <c r="D11" s="12">
        <v>250</v>
      </c>
      <c r="E11" s="13">
        <v>6000</v>
      </c>
      <c r="F11" s="9"/>
      <c r="G11" s="9"/>
      <c r="H11" s="9"/>
      <c r="I11" s="9"/>
      <c r="J11" s="9"/>
      <c r="K11" s="9"/>
      <c r="L11" s="10"/>
      <c r="M11" s="9"/>
      <c r="N11" s="9"/>
      <c r="O11" s="9"/>
    </row>
    <row r="12" spans="1:15" x14ac:dyDescent="0.25">
      <c r="A12" s="14" t="s">
        <v>21</v>
      </c>
      <c r="B12" s="14"/>
      <c r="C12" s="14"/>
      <c r="D12" s="15">
        <f>SUM(D6:D11)</f>
        <v>1085</v>
      </c>
      <c r="E12" s="16">
        <f>SUM(E5:E11)</f>
        <v>27000</v>
      </c>
      <c r="F12" s="16"/>
      <c r="G12" s="16"/>
      <c r="H12" s="16"/>
      <c r="I12" s="16">
        <v>80000</v>
      </c>
      <c r="J12" s="16"/>
      <c r="K12" s="16">
        <v>8850</v>
      </c>
      <c r="L12" s="17"/>
      <c r="M12" s="16"/>
      <c r="N12" s="16">
        <f>SUM(E12:M12)</f>
        <v>115850</v>
      </c>
      <c r="O12" s="18"/>
    </row>
    <row r="13" spans="1:15" x14ac:dyDescent="0.25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10"/>
      <c r="M13" s="7"/>
      <c r="N13" s="7"/>
      <c r="O13" s="7"/>
    </row>
    <row r="14" spans="1:15" x14ac:dyDescent="0.25">
      <c r="A14" s="7" t="s">
        <v>22</v>
      </c>
      <c r="B14" s="27" t="s">
        <v>42</v>
      </c>
      <c r="C14" s="11" t="s">
        <v>34</v>
      </c>
      <c r="D14" s="12">
        <v>250</v>
      </c>
      <c r="E14" s="13">
        <v>6000</v>
      </c>
      <c r="F14" s="7"/>
      <c r="G14" s="7"/>
      <c r="H14" s="7"/>
      <c r="I14" s="7"/>
      <c r="J14" s="7"/>
      <c r="K14" s="7"/>
      <c r="L14" s="10"/>
      <c r="M14" s="7"/>
      <c r="N14" s="7"/>
      <c r="O14" s="7"/>
    </row>
    <row r="15" spans="1:15" x14ac:dyDescent="0.25">
      <c r="A15" s="14" t="s">
        <v>22</v>
      </c>
      <c r="B15" s="14"/>
      <c r="C15" s="14"/>
      <c r="D15" s="15">
        <f>SUM(D14:D14)</f>
        <v>250</v>
      </c>
      <c r="E15" s="16">
        <f>SUM(E14:E14)</f>
        <v>6000</v>
      </c>
      <c r="F15" s="16">
        <v>125918.98</v>
      </c>
      <c r="G15" s="16"/>
      <c r="H15" s="16"/>
      <c r="I15" s="16">
        <v>90000</v>
      </c>
      <c r="J15" s="16">
        <v>4425</v>
      </c>
      <c r="K15" s="16"/>
      <c r="L15" s="17"/>
      <c r="M15" s="16"/>
      <c r="N15" s="16">
        <f>SUM(E15:M15)</f>
        <v>226343.97999999998</v>
      </c>
      <c r="O15" s="18"/>
    </row>
    <row r="16" spans="1:15" x14ac:dyDescent="0.25">
      <c r="A16" s="7"/>
      <c r="B16" s="7"/>
      <c r="C16" s="7"/>
      <c r="D16" s="8"/>
      <c r="E16" s="9"/>
      <c r="F16" s="9"/>
      <c r="G16" s="9"/>
      <c r="H16" s="9"/>
      <c r="I16" s="9"/>
      <c r="J16" s="9"/>
      <c r="K16" s="9"/>
      <c r="L16" s="10"/>
      <c r="M16" s="9"/>
      <c r="N16" s="9"/>
      <c r="O16" s="9"/>
    </row>
    <row r="17" spans="1:15" x14ac:dyDescent="0.25">
      <c r="A17" s="7" t="s">
        <v>43</v>
      </c>
      <c r="B17" s="7" t="s">
        <v>44</v>
      </c>
      <c r="C17" s="11">
        <v>46084</v>
      </c>
      <c r="D17" s="12">
        <v>250</v>
      </c>
      <c r="E17" s="13">
        <v>6000</v>
      </c>
      <c r="F17" s="9"/>
      <c r="G17" s="9"/>
      <c r="H17" s="9"/>
      <c r="I17" s="9"/>
      <c r="J17" s="9"/>
      <c r="K17" s="9"/>
      <c r="L17" s="10"/>
      <c r="M17" s="9"/>
      <c r="N17" s="9"/>
      <c r="O17" s="9"/>
    </row>
    <row r="18" spans="1:15" x14ac:dyDescent="0.25">
      <c r="A18" s="7" t="s">
        <v>43</v>
      </c>
      <c r="B18" s="7" t="s">
        <v>45</v>
      </c>
      <c r="C18" s="11">
        <v>46145</v>
      </c>
      <c r="D18" s="12">
        <v>100</v>
      </c>
      <c r="E18" s="13">
        <v>3000</v>
      </c>
      <c r="F18" s="9"/>
      <c r="G18" s="9"/>
      <c r="H18" s="9"/>
      <c r="I18" s="9"/>
      <c r="J18" s="9"/>
      <c r="K18" s="9"/>
      <c r="L18" s="10"/>
      <c r="M18" s="9"/>
      <c r="N18" s="9"/>
      <c r="O18" s="9"/>
    </row>
    <row r="19" spans="1:15" x14ac:dyDescent="0.25">
      <c r="A19" s="7" t="s">
        <v>43</v>
      </c>
      <c r="B19" s="7" t="s">
        <v>46</v>
      </c>
      <c r="C19" s="11">
        <v>46145</v>
      </c>
      <c r="D19" s="12">
        <v>110</v>
      </c>
      <c r="E19" s="13">
        <v>3000</v>
      </c>
      <c r="F19" s="9"/>
      <c r="G19" s="9"/>
      <c r="H19" s="9"/>
      <c r="I19" s="9"/>
      <c r="J19" s="9"/>
      <c r="K19" s="9"/>
      <c r="L19" s="10"/>
      <c r="M19" s="9"/>
      <c r="N19" s="9"/>
      <c r="O19" s="9"/>
    </row>
    <row r="20" spans="1:15" x14ac:dyDescent="0.25">
      <c r="A20" s="7" t="s">
        <v>43</v>
      </c>
      <c r="B20" s="7" t="s">
        <v>47</v>
      </c>
      <c r="C20" s="11" t="s">
        <v>48</v>
      </c>
      <c r="D20" s="12">
        <v>100</v>
      </c>
      <c r="E20" s="13">
        <v>3000</v>
      </c>
      <c r="F20" s="9"/>
      <c r="G20" s="9"/>
      <c r="H20" s="9"/>
      <c r="I20" s="9"/>
      <c r="J20" s="9"/>
      <c r="K20" s="9"/>
      <c r="L20" s="10"/>
      <c r="M20" s="9"/>
      <c r="N20" s="9"/>
      <c r="O20" s="9"/>
    </row>
    <row r="21" spans="1:15" x14ac:dyDescent="0.25">
      <c r="A21" s="7" t="s">
        <v>43</v>
      </c>
      <c r="B21" s="7" t="s">
        <v>49</v>
      </c>
      <c r="C21" s="11" t="s">
        <v>50</v>
      </c>
      <c r="D21" s="12">
        <v>250</v>
      </c>
      <c r="E21" s="13">
        <v>6000</v>
      </c>
      <c r="F21" s="9"/>
      <c r="G21" s="9"/>
      <c r="H21" s="9"/>
      <c r="I21" s="9"/>
      <c r="J21" s="9"/>
      <c r="K21" s="9"/>
      <c r="L21" s="10"/>
      <c r="M21" s="9"/>
      <c r="N21" s="9"/>
      <c r="O21" s="9"/>
    </row>
    <row r="22" spans="1:15" x14ac:dyDescent="0.25">
      <c r="A22" s="7" t="s">
        <v>43</v>
      </c>
      <c r="B22" s="7" t="s">
        <v>51</v>
      </c>
      <c r="C22" s="11" t="s">
        <v>40</v>
      </c>
      <c r="D22" s="12">
        <v>250</v>
      </c>
      <c r="E22" s="13">
        <v>6000</v>
      </c>
      <c r="F22" s="9"/>
      <c r="G22" s="9"/>
      <c r="H22" s="9"/>
      <c r="I22" s="9"/>
      <c r="J22" s="9"/>
      <c r="K22" s="9"/>
      <c r="L22" s="10"/>
      <c r="M22" s="9"/>
      <c r="N22" s="9"/>
      <c r="O22" s="9"/>
    </row>
    <row r="23" spans="1:15" x14ac:dyDescent="0.25">
      <c r="A23" s="14" t="s">
        <v>23</v>
      </c>
      <c r="B23" s="14"/>
      <c r="C23" s="14"/>
      <c r="D23" s="15">
        <f>SUM(D17:D22)</f>
        <v>1060</v>
      </c>
      <c r="E23" s="16">
        <f>SUM(E17:E22)</f>
        <v>27000</v>
      </c>
      <c r="F23" s="16"/>
      <c r="G23" s="16"/>
      <c r="H23" s="16"/>
      <c r="I23" s="16">
        <v>55000</v>
      </c>
      <c r="J23" s="16"/>
      <c r="K23" s="16"/>
      <c r="L23" s="17"/>
      <c r="M23" s="16"/>
      <c r="N23" s="16">
        <f>SUM(E23:M23)</f>
        <v>82000</v>
      </c>
      <c r="O23" s="18"/>
    </row>
    <row r="24" spans="1:15" x14ac:dyDescent="0.25">
      <c r="A24" s="7"/>
      <c r="B24" s="7"/>
      <c r="C24" s="7"/>
      <c r="D24" s="8"/>
      <c r="E24" s="9"/>
      <c r="F24" s="9"/>
      <c r="G24" s="9"/>
      <c r="H24" s="9"/>
      <c r="I24" s="9"/>
      <c r="J24" s="9"/>
      <c r="K24" s="9"/>
      <c r="L24" s="10"/>
      <c r="M24" s="9"/>
      <c r="N24" s="9"/>
      <c r="O24" s="9"/>
    </row>
    <row r="25" spans="1:15" x14ac:dyDescent="0.25">
      <c r="A25" s="14" t="s">
        <v>24</v>
      </c>
      <c r="B25" s="14"/>
      <c r="C25" s="14"/>
      <c r="D25" s="19"/>
      <c r="E25" s="16"/>
      <c r="F25" s="16">
        <v>162643.85449999999</v>
      </c>
      <c r="G25" s="16"/>
      <c r="H25" s="16"/>
      <c r="I25" s="16">
        <v>90000</v>
      </c>
      <c r="J25" s="16">
        <v>13275</v>
      </c>
      <c r="K25" s="16">
        <v>29500</v>
      </c>
      <c r="L25" s="17"/>
      <c r="M25" s="16"/>
      <c r="N25" s="16">
        <f>SUM(E25:M25)</f>
        <v>295418.85450000002</v>
      </c>
      <c r="O25" s="18"/>
    </row>
    <row r="26" spans="1:15" ht="16.3" customHeight="1" x14ac:dyDescent="0.25">
      <c r="A26" s="7"/>
      <c r="B26" s="7"/>
      <c r="C26" s="11"/>
      <c r="D26" s="12"/>
      <c r="E26" s="13"/>
      <c r="F26" s="9"/>
      <c r="G26" s="9"/>
      <c r="H26" s="9"/>
      <c r="I26" s="9"/>
      <c r="J26" s="9"/>
      <c r="K26" s="9"/>
      <c r="L26" s="10"/>
      <c r="M26" s="9"/>
      <c r="N26" s="9"/>
      <c r="O26" s="9"/>
    </row>
    <row r="27" spans="1:15" x14ac:dyDescent="0.25">
      <c r="A27" s="7" t="s">
        <v>25</v>
      </c>
      <c r="B27" s="7" t="s">
        <v>52</v>
      </c>
      <c r="C27" s="11" t="s">
        <v>53</v>
      </c>
      <c r="D27" s="12">
        <v>100</v>
      </c>
      <c r="E27" s="13">
        <v>3000</v>
      </c>
      <c r="F27" s="9"/>
      <c r="G27" s="9"/>
      <c r="H27" s="9"/>
      <c r="I27" s="9"/>
      <c r="J27" s="9"/>
      <c r="K27" s="9"/>
      <c r="L27" s="10"/>
      <c r="M27" s="9"/>
      <c r="N27" s="9"/>
      <c r="O27" s="9"/>
    </row>
    <row r="28" spans="1:15" x14ac:dyDescent="0.25">
      <c r="A28" s="14" t="s">
        <v>25</v>
      </c>
      <c r="B28" s="14"/>
      <c r="C28" s="14"/>
      <c r="D28" s="15">
        <f>SUM(D27:D27)</f>
        <v>100</v>
      </c>
      <c r="E28" s="16"/>
      <c r="F28" s="16"/>
      <c r="G28" s="16"/>
      <c r="H28" s="16"/>
      <c r="I28" s="16">
        <v>55000</v>
      </c>
      <c r="J28" s="16"/>
      <c r="K28" s="16"/>
      <c r="L28" s="17"/>
      <c r="M28" s="16"/>
      <c r="N28" s="16">
        <f>SUM(E28:M28)</f>
        <v>55000</v>
      </c>
      <c r="O28" s="18"/>
    </row>
    <row r="29" spans="1:15" x14ac:dyDescent="0.25">
      <c r="A29" s="7"/>
      <c r="B29" s="7"/>
      <c r="C29" s="7"/>
      <c r="D29" s="12"/>
      <c r="E29" s="13"/>
      <c r="F29" s="9"/>
      <c r="G29" s="9"/>
      <c r="H29" s="9"/>
      <c r="I29" s="9"/>
      <c r="J29" s="9"/>
      <c r="K29" s="9"/>
      <c r="L29" s="10"/>
      <c r="M29" s="9"/>
      <c r="N29" s="9"/>
      <c r="O29" s="9"/>
    </row>
    <row r="30" spans="1:15" x14ac:dyDescent="0.25">
      <c r="A30" s="7" t="s">
        <v>26</v>
      </c>
      <c r="B30" s="7" t="s">
        <v>56</v>
      </c>
      <c r="C30" s="11">
        <v>46145</v>
      </c>
      <c r="D30" s="12">
        <v>250</v>
      </c>
      <c r="E30" s="13">
        <v>6000</v>
      </c>
      <c r="F30" s="9"/>
      <c r="G30" s="9"/>
      <c r="H30" s="9"/>
      <c r="I30" s="9"/>
      <c r="J30" s="9"/>
      <c r="K30" s="9"/>
      <c r="L30" s="10"/>
      <c r="M30" s="9"/>
      <c r="N30" s="9"/>
      <c r="O30" s="9"/>
    </row>
    <row r="31" spans="1:15" x14ac:dyDescent="0.25">
      <c r="A31" s="7" t="s">
        <v>26</v>
      </c>
      <c r="B31" s="7" t="s">
        <v>57</v>
      </c>
      <c r="C31" s="7" t="s">
        <v>58</v>
      </c>
      <c r="D31" s="12">
        <v>600</v>
      </c>
      <c r="E31" s="13">
        <v>10000</v>
      </c>
      <c r="F31" s="9"/>
      <c r="G31" s="9"/>
      <c r="H31" s="9"/>
      <c r="I31" s="9"/>
      <c r="J31" s="9"/>
      <c r="K31" s="9"/>
      <c r="L31" s="10"/>
      <c r="M31" s="9"/>
      <c r="N31" s="9"/>
      <c r="O31" s="9"/>
    </row>
    <row r="32" spans="1:15" x14ac:dyDescent="0.25">
      <c r="A32" s="7" t="s">
        <v>26</v>
      </c>
      <c r="B32" s="7" t="s">
        <v>59</v>
      </c>
      <c r="C32" s="7" t="s">
        <v>40</v>
      </c>
      <c r="D32" s="12">
        <v>100</v>
      </c>
      <c r="E32" s="13">
        <v>3000</v>
      </c>
      <c r="F32" s="9"/>
      <c r="G32" s="9"/>
      <c r="H32" s="9"/>
      <c r="I32" s="9"/>
      <c r="J32" s="9"/>
      <c r="K32" s="9"/>
      <c r="L32" s="10"/>
      <c r="M32" s="9"/>
      <c r="N32" s="9"/>
      <c r="O32" s="9"/>
    </row>
    <row r="33" spans="1:15" x14ac:dyDescent="0.25">
      <c r="A33" s="7" t="s">
        <v>26</v>
      </c>
      <c r="B33" s="7" t="s">
        <v>60</v>
      </c>
      <c r="C33" s="7" t="s">
        <v>40</v>
      </c>
      <c r="D33" s="12">
        <v>100</v>
      </c>
      <c r="E33" s="13">
        <v>3000</v>
      </c>
      <c r="F33" s="9"/>
      <c r="G33" s="9"/>
      <c r="H33" s="9"/>
      <c r="I33" s="9"/>
      <c r="J33" s="9"/>
      <c r="K33" s="9"/>
      <c r="L33" s="10"/>
      <c r="M33" s="9"/>
      <c r="N33" s="9"/>
      <c r="O33" s="9"/>
    </row>
    <row r="34" spans="1:15" x14ac:dyDescent="0.25">
      <c r="A34" s="7" t="s">
        <v>26</v>
      </c>
      <c r="B34" s="7" t="s">
        <v>61</v>
      </c>
      <c r="C34" s="7" t="s">
        <v>62</v>
      </c>
      <c r="D34" s="12">
        <v>900</v>
      </c>
      <c r="E34" s="13">
        <v>10000</v>
      </c>
      <c r="F34" s="9"/>
      <c r="G34" s="9"/>
      <c r="H34" s="9"/>
      <c r="I34" s="9"/>
      <c r="J34" s="9"/>
      <c r="K34" s="9"/>
      <c r="L34" s="10"/>
      <c r="M34" s="9"/>
      <c r="N34" s="9"/>
      <c r="O34" s="9"/>
    </row>
    <row r="35" spans="1:15" x14ac:dyDescent="0.25">
      <c r="A35" s="14" t="s">
        <v>26</v>
      </c>
      <c r="B35" s="14"/>
      <c r="C35" s="14"/>
      <c r="D35" s="15">
        <f>SUM(D30:D34)</f>
        <v>1950</v>
      </c>
      <c r="E35" s="16">
        <f>SUM(E30:E34)</f>
        <v>32000</v>
      </c>
      <c r="F35" s="16"/>
      <c r="G35" s="16">
        <v>7000</v>
      </c>
      <c r="H35" s="16"/>
      <c r="I35" s="16">
        <v>43666.66</v>
      </c>
      <c r="J35" s="16"/>
      <c r="K35" s="16"/>
      <c r="L35" s="17"/>
      <c r="M35" s="16"/>
      <c r="N35" s="16">
        <f>SUM(E35:M35)</f>
        <v>82666.66</v>
      </c>
      <c r="O35" s="18"/>
    </row>
    <row r="36" spans="1:15" x14ac:dyDescent="0.25">
      <c r="A36" s="20"/>
      <c r="B36" s="20"/>
      <c r="C36" s="20"/>
      <c r="D36" s="21"/>
      <c r="E36" s="18"/>
      <c r="F36" s="18"/>
      <c r="G36" s="18"/>
      <c r="H36" s="18"/>
      <c r="I36" s="18"/>
      <c r="J36" s="18"/>
      <c r="K36" s="18"/>
      <c r="L36" s="22"/>
      <c r="M36" s="18"/>
      <c r="N36" s="18"/>
      <c r="O36" s="18"/>
    </row>
    <row r="37" spans="1:15" x14ac:dyDescent="0.25">
      <c r="A37" s="7" t="s">
        <v>27</v>
      </c>
      <c r="B37" s="7" t="s">
        <v>54</v>
      </c>
      <c r="C37" s="11">
        <v>46115</v>
      </c>
      <c r="D37" s="12">
        <v>100</v>
      </c>
      <c r="E37" s="13">
        <v>3000</v>
      </c>
      <c r="F37" s="18"/>
      <c r="G37" s="18"/>
      <c r="H37" s="18"/>
      <c r="I37" s="18"/>
      <c r="J37" s="18"/>
      <c r="K37" s="18"/>
      <c r="L37" s="22"/>
      <c r="M37" s="18"/>
      <c r="N37" s="18"/>
      <c r="O37" s="18"/>
    </row>
    <row r="38" spans="1:15" x14ac:dyDescent="0.25">
      <c r="A38" s="7" t="s">
        <v>27</v>
      </c>
      <c r="B38" s="7" t="s">
        <v>55</v>
      </c>
      <c r="C38" s="11">
        <v>46268</v>
      </c>
      <c r="D38" s="12">
        <v>100</v>
      </c>
      <c r="E38" s="13">
        <v>3000</v>
      </c>
      <c r="F38" s="18"/>
      <c r="G38" s="18"/>
      <c r="H38" s="18"/>
      <c r="I38" s="18"/>
      <c r="J38" s="18"/>
      <c r="K38" s="18"/>
      <c r="L38" s="22"/>
      <c r="M38" s="18"/>
      <c r="N38" s="18"/>
      <c r="O38" s="18"/>
    </row>
    <row r="39" spans="1:15" x14ac:dyDescent="0.25">
      <c r="A39" s="14" t="s">
        <v>27</v>
      </c>
      <c r="B39" s="14"/>
      <c r="C39" s="14"/>
      <c r="D39" s="15">
        <f>SUM(D37:D38)</f>
        <v>200</v>
      </c>
      <c r="E39" s="16"/>
      <c r="F39" s="16"/>
      <c r="G39" s="16"/>
      <c r="H39" s="16"/>
      <c r="I39" s="16">
        <v>45833.33</v>
      </c>
      <c r="J39" s="16"/>
      <c r="K39" s="16"/>
      <c r="L39" s="17"/>
      <c r="M39" s="16"/>
      <c r="N39" s="16">
        <f>SUM(E39:M39)</f>
        <v>45833.33</v>
      </c>
      <c r="O39" s="18"/>
    </row>
    <row r="40" spans="1:15" x14ac:dyDescent="0.25">
      <c r="A40" s="20"/>
      <c r="B40" s="20"/>
      <c r="C40" s="20"/>
      <c r="D40" s="21"/>
      <c r="E40" s="18"/>
      <c r="F40" s="18"/>
      <c r="G40" s="18"/>
      <c r="H40" s="18"/>
      <c r="I40" s="18"/>
      <c r="J40" s="18"/>
      <c r="K40" s="18"/>
      <c r="L40" s="22"/>
      <c r="M40" s="18"/>
      <c r="N40" s="18"/>
      <c r="O40" s="18"/>
    </row>
    <row r="41" spans="1:15" x14ac:dyDescent="0.25">
      <c r="A41" s="7" t="s">
        <v>28</v>
      </c>
      <c r="B41" s="11" t="s">
        <v>63</v>
      </c>
      <c r="C41" s="11">
        <v>46329</v>
      </c>
      <c r="D41" s="12">
        <v>505</v>
      </c>
      <c r="E41" s="13">
        <v>10000</v>
      </c>
      <c r="F41" s="18"/>
      <c r="G41" s="18"/>
      <c r="H41" s="18"/>
      <c r="I41" s="18"/>
      <c r="J41" s="18"/>
      <c r="K41" s="18"/>
      <c r="L41" s="22"/>
      <c r="M41" s="18"/>
      <c r="N41" s="18"/>
      <c r="O41" s="18"/>
    </row>
    <row r="42" spans="1:15" x14ac:dyDescent="0.25">
      <c r="A42" s="14" t="s">
        <v>28</v>
      </c>
      <c r="B42" s="14"/>
      <c r="C42" s="14"/>
      <c r="D42" s="15">
        <f>SUM(D41:D41)</f>
        <v>505</v>
      </c>
      <c r="E42" s="23">
        <f>SUM(E41:E41)</f>
        <v>10000</v>
      </c>
      <c r="F42" s="16"/>
      <c r="G42" s="16"/>
      <c r="H42" s="16"/>
      <c r="I42" s="16">
        <v>33333.33</v>
      </c>
      <c r="J42" s="16"/>
      <c r="K42" s="16"/>
      <c r="L42" s="17"/>
      <c r="M42" s="16"/>
      <c r="N42" s="16">
        <f>SUM(E42:M42)</f>
        <v>43333.33</v>
      </c>
      <c r="O42" s="18"/>
    </row>
    <row r="43" spans="1:15" x14ac:dyDescent="0.25">
      <c r="A43" s="14" t="s">
        <v>64</v>
      </c>
      <c r="B43" s="14"/>
      <c r="C43" s="14"/>
      <c r="D43" s="15"/>
      <c r="E43" s="23"/>
      <c r="F43" s="16"/>
      <c r="G43" s="16"/>
      <c r="H43" s="16"/>
      <c r="I43" s="16">
        <v>42166.66</v>
      </c>
      <c r="J43" s="16"/>
      <c r="K43" s="16"/>
      <c r="L43" s="17"/>
      <c r="M43" s="16"/>
      <c r="N43" s="16">
        <f>SUM(E43:M43)</f>
        <v>42166.66</v>
      </c>
      <c r="O43" s="18"/>
    </row>
    <row r="44" spans="1:15" x14ac:dyDescent="0.25">
      <c r="A44" s="14" t="s">
        <v>29</v>
      </c>
      <c r="B44" s="14"/>
      <c r="C44" s="14"/>
      <c r="D44" s="15"/>
      <c r="E44" s="23"/>
      <c r="F44" s="16"/>
      <c r="G44" s="16"/>
      <c r="H44" s="16"/>
      <c r="I44" s="16">
        <v>18833.330000000002</v>
      </c>
      <c r="J44" s="16"/>
      <c r="K44" s="16"/>
      <c r="L44" s="17"/>
      <c r="M44" s="16"/>
      <c r="N44" s="16">
        <v>18833.330000000002</v>
      </c>
      <c r="O44" s="18"/>
    </row>
    <row r="45" spans="1:15" x14ac:dyDescent="0.25">
      <c r="A45" s="24"/>
      <c r="B45" s="24"/>
      <c r="C45" s="24"/>
      <c r="D45" s="15">
        <f>SUM(D35,D28,D25,D23,D15,D12,D39,D42,D43)</f>
        <v>5150</v>
      </c>
      <c r="E45" s="25">
        <f>SUM(E35,E28,E25,E23,E15,E12,E42,E39,E43)</f>
        <v>102000</v>
      </c>
      <c r="F45" s="25"/>
      <c r="G45" s="24"/>
      <c r="H45" s="24"/>
      <c r="I45" s="25">
        <f>SUM(I12:I44)</f>
        <v>553833.31000000006</v>
      </c>
      <c r="J45" s="25"/>
      <c r="K45" s="25"/>
      <c r="L45" s="26"/>
      <c r="M45" s="18"/>
      <c r="N45" s="24"/>
      <c r="O45" s="16">
        <f>SUM(N42,N39,N35,N28,N25,N23,N15,N12,N44,N43)</f>
        <v>1007446.1444999999</v>
      </c>
    </row>
  </sheetData>
  <autoFilter ref="A1:A45" xr:uid="{83286E7C-B9C8-424A-8EB2-EDBAAD40B5FC}"/>
  <mergeCells count="1">
    <mergeCell ref="A1:O1"/>
  </mergeCell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2026-04-06T11:15:53Z</dcterms:created>
  <dcterms:modified xsi:type="dcterms:W3CDTF">2026-04-08T17:01:40Z</dcterms:modified>
</cp:coreProperties>
</file>