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5179CD6C-58F0-4615-AF69-6B0DF5B42A44}" xr6:coauthVersionLast="47" xr6:coauthVersionMax="47" xr10:uidLastSave="{00000000-0000-0000-0000-000000000000}"/>
  <bookViews>
    <workbookView xWindow="-109" yWindow="-109" windowWidth="26301" windowHeight="14169" xr2:uid="{586F230E-CBA7-411E-B125-540569C5C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" l="1"/>
  <c r="N72" i="1"/>
  <c r="I73" i="1" l="1"/>
  <c r="E71" i="1"/>
  <c r="N71" i="1" s="1"/>
  <c r="D71" i="1"/>
  <c r="E68" i="1"/>
  <c r="N68" i="1" s="1"/>
  <c r="D68" i="1"/>
  <c r="E55" i="1"/>
  <c r="N55" i="1" s="1"/>
  <c r="D55" i="1"/>
  <c r="E45" i="1"/>
  <c r="N45" i="1" s="1"/>
  <c r="D45" i="1"/>
  <c r="E39" i="1"/>
  <c r="N39" i="1" s="1"/>
  <c r="D39" i="1"/>
  <c r="E23" i="1"/>
  <c r="N23" i="1" s="1"/>
  <c r="D23" i="1"/>
  <c r="E15" i="1"/>
  <c r="N15" i="1" s="1"/>
  <c r="D15" i="1"/>
  <c r="E11" i="1"/>
  <c r="N11" i="1" s="1"/>
  <c r="D11" i="1"/>
  <c r="E73" i="1" l="1"/>
  <c r="D73" i="1"/>
  <c r="O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F15" authorId="0" shapeId="0" xr:uid="{619469AD-9436-4097-99B8-93265C243569}">
      <text>
        <r>
          <rPr>
            <b/>
            <sz val="9"/>
            <color indexed="81"/>
            <rFont val="Tahoma"/>
            <charset val="1"/>
          </rPr>
          <t xml:space="preserve">Total Lots - 1433.9319
300*1=$300
200*0.9=$180
500*1=$500
433.9319*1.5=$650.8978
Total commission = $1630.8978*295=481,114.85 LKR 
</t>
        </r>
      </text>
    </comment>
    <comment ref="G15" authorId="0" shapeId="0" xr:uid="{5484BDBC-0EAF-4A7A-877B-4F7AC92DB791}">
      <text>
        <r>
          <rPr>
            <b/>
            <sz val="9"/>
            <color indexed="81"/>
            <rFont val="Tahoma"/>
            <family val="2"/>
          </rPr>
          <t xml:space="preserve">Target achivement $30
</t>
        </r>
      </text>
    </comment>
    <comment ref="J15" authorId="0" shapeId="0" xr:uid="{DEEFC5E8-2C6F-4173-8E60-4ADE5142CC8D}">
      <text>
        <r>
          <rPr>
            <b/>
            <sz val="9"/>
            <color indexed="81"/>
            <rFont val="Tahoma"/>
            <family val="2"/>
          </rPr>
          <t xml:space="preserve">He has reached 300 lots, 600 lots and 1200 and above. 
He is eligible to get $15, $30, $60
Total of $105 </t>
        </r>
      </text>
    </comment>
    <comment ref="K15" authorId="0" shapeId="0" xr:uid="{EBFB4064-BA56-4548-9CCB-2CC3BABD78D5}">
      <text>
        <r>
          <rPr>
            <b/>
            <sz val="9"/>
            <color indexed="81"/>
            <rFont val="Tahoma"/>
            <family val="2"/>
          </rPr>
          <t>3 weekly target achieved. Each $30
Total $90</t>
        </r>
      </text>
    </comment>
    <comment ref="F25" authorId="0" shapeId="0" xr:uid="{3F6B164C-2B1B-46D1-B1AF-F311E062C9E8}">
      <text>
        <r>
          <rPr>
            <b/>
            <sz val="9"/>
            <color indexed="81"/>
            <rFont val="Tahoma"/>
            <family val="2"/>
          </rPr>
          <t>Total lots = 929.4249
300*1=$300 
200*0.9=$180
371.5189*1=$371.5189
57.906*0.1=5.7906 (Special for ECN)
Total = $857.3095</t>
        </r>
      </text>
    </comment>
    <comment ref="G25" authorId="0" shapeId="0" xr:uid="{4BC19C1E-6F42-4BD5-8281-20B77C7D5D9B}">
      <text>
        <r>
          <rPr>
            <b/>
            <sz val="9"/>
            <color indexed="81"/>
            <rFont val="Tahoma"/>
            <family val="2"/>
          </rPr>
          <t xml:space="preserve">Target achivement $30
</t>
        </r>
      </text>
    </comment>
    <comment ref="I25" authorId="0" shapeId="0" xr:uid="{E16DCCB5-2958-4C78-BC31-8A8D3E8E7786}">
      <text>
        <r>
          <rPr>
            <b/>
            <sz val="9"/>
            <color indexed="81"/>
            <rFont val="Tahoma"/>
            <family val="2"/>
          </rPr>
          <t xml:space="preserve">1 day deduction </t>
        </r>
      </text>
    </comment>
    <comment ref="J25" authorId="0" shapeId="0" xr:uid="{E200AEE0-CB8D-45C8-AB6E-1262730733D0}">
      <text>
        <r>
          <rPr>
            <b/>
            <sz val="9"/>
            <color indexed="81"/>
            <rFont val="Tahoma"/>
            <family val="2"/>
          </rPr>
          <t xml:space="preserve">Threshold $45
1st milestone 300 lots $15
2nd milestone $30 
</t>
        </r>
      </text>
    </comment>
    <comment ref="K25" authorId="0" shapeId="0" xr:uid="{8957B643-7129-49C3-AEBF-017D35AAA3D8}">
      <text>
        <r>
          <rPr>
            <b/>
            <sz val="9"/>
            <color indexed="81"/>
            <rFont val="Tahoma"/>
            <family val="2"/>
          </rPr>
          <t>3 weekly target achieved. Each $30
Total $90</t>
        </r>
      </text>
    </comment>
    <comment ref="F45" authorId="0" shapeId="0" xr:uid="{8A70D515-35A4-45FD-9BB9-092318DDE8A1}">
      <text>
        <r>
          <rPr>
            <b/>
            <sz val="9"/>
            <color indexed="81"/>
            <rFont val="Tahoma"/>
            <charset val="1"/>
          </rPr>
          <t xml:space="preserve">Reactivation $100 
on February 4th </t>
        </r>
      </text>
    </comment>
    <comment ref="F55" authorId="0" shapeId="0" xr:uid="{79EFE5F0-95BB-4830-AED6-48975F0ED65B}">
      <text>
        <r>
          <rPr>
            <b/>
            <sz val="9"/>
            <color indexed="81"/>
            <rFont val="Tahoma"/>
            <charset val="1"/>
          </rPr>
          <t>Sanjeewa Reactivation for $5000</t>
        </r>
      </text>
    </comment>
    <comment ref="F68" authorId="0" shapeId="0" xr:uid="{5FC2C027-4837-41CA-9F57-FCD172EE6629}">
      <text>
        <r>
          <rPr>
            <b/>
            <sz val="9"/>
            <color indexed="81"/>
            <rFont val="Tahoma"/>
            <charset val="1"/>
          </rPr>
          <t>Total Lots = 34.4076
34.4076*0.75=25.8057 
25.8057*295= 7612.68</t>
        </r>
      </text>
    </comment>
    <comment ref="I68" authorId="0" shapeId="0" xr:uid="{EEE2B50C-BD62-4B2C-A03F-94AA5CA5B6ED}">
      <text>
        <r>
          <rPr>
            <b/>
            <sz val="9"/>
            <color indexed="81"/>
            <rFont val="Tahoma"/>
            <family val="2"/>
          </rPr>
          <t xml:space="preserve">3 days deduction
</t>
        </r>
      </text>
    </comment>
    <comment ref="I71" authorId="0" shapeId="0" xr:uid="{678A8FFD-0102-4A8B-B328-341FFBAE7FD6}">
      <text>
        <r>
          <rPr>
            <b/>
            <sz val="9"/>
            <color indexed="81"/>
            <rFont val="Tahoma"/>
            <family val="2"/>
          </rPr>
          <t xml:space="preserve">5.5 days deduction 
</t>
        </r>
      </text>
    </comment>
  </commentList>
</comments>
</file>

<file path=xl/sharedStrings.xml><?xml version="1.0" encoding="utf-8"?>
<sst xmlns="http://schemas.openxmlformats.org/spreadsheetml/2006/main" count="135" uniqueCount="85">
  <si>
    <t>Retention</t>
  </si>
  <si>
    <t>Target</t>
  </si>
  <si>
    <t>2nd Target</t>
  </si>
  <si>
    <t xml:space="preserve">Weekly </t>
  </si>
  <si>
    <t>Attendance</t>
  </si>
  <si>
    <t>EPF</t>
  </si>
  <si>
    <t>Grand</t>
  </si>
  <si>
    <t>Agent Name</t>
  </si>
  <si>
    <t>Client Name</t>
  </si>
  <si>
    <t>Date of FTD</t>
  </si>
  <si>
    <t>FTD</t>
  </si>
  <si>
    <t>Comission</t>
  </si>
  <si>
    <t>Achievement</t>
  </si>
  <si>
    <t>Basic</t>
  </si>
  <si>
    <t>Acheivement</t>
  </si>
  <si>
    <t>Bonus</t>
  </si>
  <si>
    <t>Deduction</t>
  </si>
  <si>
    <t>Total</t>
  </si>
  <si>
    <t>Dharshan</t>
  </si>
  <si>
    <t>Vinoth</t>
  </si>
  <si>
    <t>Dileepan</t>
  </si>
  <si>
    <t>Riya</t>
  </si>
  <si>
    <t>Sakeer</t>
  </si>
  <si>
    <t>Akash</t>
  </si>
  <si>
    <t>Aahila</t>
  </si>
  <si>
    <t>Nazeem</t>
  </si>
  <si>
    <t>Saheel</t>
  </si>
  <si>
    <t>Nabeel</t>
  </si>
  <si>
    <t>Madhan Raj</t>
  </si>
  <si>
    <t>Dilsha Bala</t>
  </si>
  <si>
    <t>Thangamani</t>
  </si>
  <si>
    <t>Sakthy Bala</t>
  </si>
  <si>
    <t>Kodeeswaran</t>
  </si>
  <si>
    <t>20/2/2026</t>
  </si>
  <si>
    <t>Ayush Verma</t>
  </si>
  <si>
    <t>Thileeban</t>
  </si>
  <si>
    <t>Iresh Gurusinghe</t>
  </si>
  <si>
    <t>Nishantha Delgoda</t>
  </si>
  <si>
    <t>Priyanka</t>
  </si>
  <si>
    <t>Jeyani Lokugamage</t>
  </si>
  <si>
    <t>21/2/2026</t>
  </si>
  <si>
    <t>Raahulan Amirthalingam</t>
  </si>
  <si>
    <t>24/2/2026</t>
  </si>
  <si>
    <t>Shakeer</t>
  </si>
  <si>
    <t>Hariprasad</t>
  </si>
  <si>
    <t>Yogeshwaran</t>
  </si>
  <si>
    <t>Vairakani</t>
  </si>
  <si>
    <t>Sabari</t>
  </si>
  <si>
    <t>Thishanthini</t>
  </si>
  <si>
    <t xml:space="preserve">Lawrence </t>
  </si>
  <si>
    <t>Gokul</t>
  </si>
  <si>
    <t>Dhakchana Moorthy</t>
  </si>
  <si>
    <t>13/2/2026</t>
  </si>
  <si>
    <t>Yoosuf Mohamed</t>
  </si>
  <si>
    <t>19/2/2026</t>
  </si>
  <si>
    <t>Ashif</t>
  </si>
  <si>
    <t>Ayyappan</t>
  </si>
  <si>
    <t>Prathiv Das</t>
  </si>
  <si>
    <t xml:space="preserve">Akash </t>
  </si>
  <si>
    <t>Nagaraj</t>
  </si>
  <si>
    <t xml:space="preserve">Faizal </t>
  </si>
  <si>
    <t>26/2/2026</t>
  </si>
  <si>
    <t>Muhammad</t>
  </si>
  <si>
    <t xml:space="preserve">Misbah </t>
  </si>
  <si>
    <t>Harrish Shezad</t>
  </si>
  <si>
    <t>KHETRABASI TANDI</t>
  </si>
  <si>
    <t>18/2/2026</t>
  </si>
  <si>
    <t>Riknas</t>
  </si>
  <si>
    <t>Vijay Kumar (ECN)</t>
  </si>
  <si>
    <t>Rikas</t>
  </si>
  <si>
    <t>Sam</t>
  </si>
  <si>
    <t>Mahesh</t>
  </si>
  <si>
    <t>Manikandan</t>
  </si>
  <si>
    <t>Chaman</t>
  </si>
  <si>
    <t>Bakiaraj</t>
  </si>
  <si>
    <t>17/2/2026</t>
  </si>
  <si>
    <t>Jazim Areef</t>
  </si>
  <si>
    <t xml:space="preserve">Priya </t>
  </si>
  <si>
    <t>Mohan Raj</t>
  </si>
  <si>
    <t>27/2/2026</t>
  </si>
  <si>
    <t>Dewaraj Kumaravel</t>
  </si>
  <si>
    <t>Thresholds for</t>
  </si>
  <si>
    <t xml:space="preserve">Milestones </t>
  </si>
  <si>
    <t>Total No.of Sales &amp; Salary Expenses for the Month of FEBRUARY 2026 (Only Agents &amp; Employees)</t>
  </si>
  <si>
    <t>Sanjeewa (reactivation)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</si>
</sst>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Rs-846]\ #,##0.00"/>
    <numFmt numFmtId="165" formatCode="_-[$Rs.-849]\ * #,##0.00_-;\-[$Rs.-849]\ * #,##0.00_-;_-[$Rs.-849]\ * &quot;-&quot;??_-;_-@_-"/>
    <numFmt numFmtId="166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4" fillId="2" borderId="1" xfId="0" applyFont="1" applyFill="1" applyBorder="1" applyAlignment="1">
      <alignment horizontal="center"/>
    </xf>
    <xf numFmtId="44" fontId="4" fillId="2" borderId="1" xfId="1" applyFont="1" applyFill="1" applyBorder="1" applyAlignment="1" applyProtection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44" fontId="4" fillId="2" borderId="1" xfId="1" applyFont="1" applyFill="1" applyBorder="1" applyAlignment="1" applyProtection="1">
      <alignment horizontal="center" vertical="top"/>
    </xf>
    <xf numFmtId="164" fontId="4" fillId="2" borderId="1" xfId="0" applyNumberFormat="1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6" fontId="0" fillId="3" borderId="1" xfId="1" applyNumberFormat="1" applyFont="1" applyFill="1" applyBorder="1" applyAlignment="1">
      <alignment horizontal="center"/>
    </xf>
    <xf numFmtId="165" fontId="0" fillId="3" borderId="1" xfId="0" applyNumberFormat="1" applyFill="1" applyBorder="1"/>
    <xf numFmtId="0" fontId="2" fillId="4" borderId="1" xfId="0" applyFont="1" applyFill="1" applyBorder="1" applyAlignment="1">
      <alignment horizontal="center"/>
    </xf>
    <xf numFmtId="166" fontId="2" fillId="4" borderId="1" xfId="1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44" fontId="2" fillId="4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2" fillId="3" borderId="1" xfId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/>
    <xf numFmtId="166" fontId="2" fillId="3" borderId="1" xfId="1" applyNumberFormat="1" applyFont="1" applyFill="1" applyBorder="1" applyAlignment="1">
      <alignment horizontal="center"/>
    </xf>
    <xf numFmtId="165" fontId="2" fillId="3" borderId="1" xfId="0" applyNumberFormat="1" applyFont="1" applyFill="1" applyBorder="1"/>
    <xf numFmtId="165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BFF3-4D1A-4C89-AEBF-D537F43D1D3A}">
  <dimension ref="A1:O73"/>
  <sheetViews>
    <sheetView tabSelected="1" topLeftCell="A33" zoomScale="80" zoomScaleNormal="80" workbookViewId="0">
      <selection activeCell="J51" sqref="J51"/>
    </sheetView>
  </sheetViews>
  <sheetFormatPr defaultRowHeight="14.3" x14ac:dyDescent="0.25"/>
  <cols>
    <col min="1" max="1" width="18.5" customWidth="1"/>
    <col min="2" max="2" width="28.375" customWidth="1"/>
    <col min="3" max="3" width="14.125" customWidth="1"/>
    <col min="4" max="4" width="12.625" customWidth="1"/>
    <col min="5" max="6" width="17.625" customWidth="1"/>
    <col min="7" max="15" width="19.5" customWidth="1"/>
  </cols>
  <sheetData>
    <row r="1" spans="1:15" ht="21.75" x14ac:dyDescent="0.25">
      <c r="A1" s="29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16.3" x14ac:dyDescent="0.3">
      <c r="A2" s="1"/>
      <c r="B2" s="1"/>
      <c r="C2" s="1"/>
      <c r="D2" s="2"/>
      <c r="E2" s="1"/>
      <c r="F2" s="1" t="s">
        <v>0</v>
      </c>
      <c r="G2" s="1" t="s">
        <v>1</v>
      </c>
      <c r="H2" s="1" t="s">
        <v>2</v>
      </c>
      <c r="I2" s="1"/>
      <c r="J2" s="1" t="s">
        <v>81</v>
      </c>
      <c r="K2" s="1" t="s">
        <v>3</v>
      </c>
      <c r="L2" s="3" t="s">
        <v>4</v>
      </c>
      <c r="M2" s="1" t="s">
        <v>5</v>
      </c>
      <c r="N2" s="1"/>
      <c r="O2" s="1" t="s">
        <v>6</v>
      </c>
    </row>
    <row r="3" spans="1:15" ht="16.3" x14ac:dyDescent="0.25">
      <c r="A3" s="4" t="s">
        <v>7</v>
      </c>
      <c r="B3" s="4" t="s">
        <v>8</v>
      </c>
      <c r="C3" s="4" t="s">
        <v>9</v>
      </c>
      <c r="D3" s="5" t="s">
        <v>10</v>
      </c>
      <c r="E3" s="4" t="s">
        <v>11</v>
      </c>
      <c r="F3" s="4" t="s">
        <v>11</v>
      </c>
      <c r="G3" s="4" t="s">
        <v>12</v>
      </c>
      <c r="H3" s="4" t="s">
        <v>12</v>
      </c>
      <c r="I3" s="4" t="s">
        <v>13</v>
      </c>
      <c r="J3" s="4" t="s">
        <v>82</v>
      </c>
      <c r="K3" s="4" t="s">
        <v>14</v>
      </c>
      <c r="L3" s="6" t="s">
        <v>15</v>
      </c>
      <c r="M3" s="4" t="s">
        <v>16</v>
      </c>
      <c r="N3" s="4" t="s">
        <v>17</v>
      </c>
      <c r="O3" s="4" t="s">
        <v>17</v>
      </c>
    </row>
    <row r="4" spans="1:15" x14ac:dyDescent="0.25">
      <c r="A4" s="7"/>
      <c r="B4" s="7"/>
      <c r="C4" s="7"/>
      <c r="D4" s="8"/>
      <c r="E4" s="9"/>
      <c r="F4" s="9"/>
      <c r="G4" s="9"/>
      <c r="H4" s="9"/>
      <c r="I4" s="9"/>
      <c r="J4" s="9"/>
      <c r="K4" s="9"/>
      <c r="L4" s="10"/>
      <c r="M4" s="9"/>
      <c r="N4" s="9"/>
      <c r="O4" s="9"/>
    </row>
    <row r="5" spans="1:15" x14ac:dyDescent="0.25">
      <c r="A5" s="7" t="s">
        <v>18</v>
      </c>
      <c r="B5" s="7" t="s">
        <v>28</v>
      </c>
      <c r="C5" s="11">
        <v>46175</v>
      </c>
      <c r="D5" s="12">
        <v>100</v>
      </c>
      <c r="E5" s="13">
        <v>3000</v>
      </c>
      <c r="F5" s="9"/>
      <c r="G5" s="9"/>
      <c r="H5" s="9"/>
      <c r="I5" s="9"/>
      <c r="J5" s="9"/>
      <c r="K5" s="9"/>
      <c r="L5" s="10"/>
      <c r="M5" s="9"/>
      <c r="N5" s="9"/>
      <c r="O5" s="9"/>
    </row>
    <row r="6" spans="1:15" x14ac:dyDescent="0.25">
      <c r="A6" s="7" t="s">
        <v>18</v>
      </c>
      <c r="B6" s="7" t="s">
        <v>29</v>
      </c>
      <c r="C6" s="11">
        <v>46114</v>
      </c>
      <c r="D6" s="12">
        <v>100</v>
      </c>
      <c r="E6" s="13">
        <v>3000</v>
      </c>
      <c r="F6" s="9"/>
      <c r="G6" s="9"/>
      <c r="H6" s="9"/>
      <c r="I6" s="9"/>
      <c r="J6" s="9"/>
      <c r="K6" s="9"/>
      <c r="L6" s="10"/>
      <c r="M6" s="9"/>
      <c r="N6" s="9"/>
      <c r="O6" s="9"/>
    </row>
    <row r="7" spans="1:15" x14ac:dyDescent="0.25">
      <c r="A7" s="7" t="s">
        <v>18</v>
      </c>
      <c r="B7" s="7" t="s">
        <v>30</v>
      </c>
      <c r="C7" s="11">
        <v>46297</v>
      </c>
      <c r="D7" s="12">
        <v>100</v>
      </c>
      <c r="E7" s="13">
        <v>3000</v>
      </c>
      <c r="F7" s="9"/>
      <c r="G7" s="9"/>
      <c r="H7" s="9"/>
      <c r="I7" s="9"/>
      <c r="J7" s="9"/>
      <c r="K7" s="9"/>
      <c r="L7" s="10"/>
      <c r="M7" s="9"/>
      <c r="N7" s="9"/>
      <c r="O7" s="9"/>
    </row>
    <row r="8" spans="1:15" x14ac:dyDescent="0.25">
      <c r="A8" s="7" t="s">
        <v>18</v>
      </c>
      <c r="B8" s="7" t="s">
        <v>31</v>
      </c>
      <c r="C8" s="11">
        <v>46358</v>
      </c>
      <c r="D8" s="12">
        <v>250</v>
      </c>
      <c r="E8" s="13">
        <v>6000</v>
      </c>
      <c r="F8" s="9"/>
      <c r="G8" s="9"/>
      <c r="H8" s="9"/>
      <c r="I8" s="9"/>
      <c r="J8" s="9"/>
      <c r="K8" s="9"/>
      <c r="L8" s="10"/>
      <c r="M8" s="9"/>
      <c r="N8" s="9"/>
      <c r="O8" s="9"/>
    </row>
    <row r="9" spans="1:15" x14ac:dyDescent="0.25">
      <c r="A9" s="7" t="s">
        <v>18</v>
      </c>
      <c r="B9" s="7" t="s">
        <v>32</v>
      </c>
      <c r="C9" s="7" t="s">
        <v>33</v>
      </c>
      <c r="D9" s="12">
        <v>390</v>
      </c>
      <c r="E9" s="13">
        <v>6000</v>
      </c>
      <c r="F9" s="9"/>
      <c r="G9" s="9"/>
      <c r="H9" s="9"/>
      <c r="I9" s="9"/>
      <c r="J9" s="9"/>
      <c r="K9" s="9"/>
      <c r="L9" s="10"/>
      <c r="M9" s="9"/>
      <c r="N9" s="9"/>
      <c r="O9" s="9"/>
    </row>
    <row r="10" spans="1:15" x14ac:dyDescent="0.25">
      <c r="A10" s="7"/>
      <c r="B10" s="7"/>
      <c r="C10" s="7"/>
      <c r="D10" s="12"/>
      <c r="E10" s="13"/>
      <c r="F10" s="9"/>
      <c r="G10" s="9"/>
      <c r="H10" s="9"/>
      <c r="I10" s="9"/>
      <c r="J10" s="9"/>
      <c r="K10" s="9"/>
      <c r="L10" s="10"/>
      <c r="M10" s="9"/>
      <c r="N10" s="9"/>
      <c r="O10" s="9"/>
    </row>
    <row r="11" spans="1:15" x14ac:dyDescent="0.25">
      <c r="A11" s="14" t="s">
        <v>18</v>
      </c>
      <c r="B11" s="14"/>
      <c r="C11" s="14"/>
      <c r="D11" s="15">
        <f>SUM(D5:D10)</f>
        <v>940</v>
      </c>
      <c r="E11" s="16">
        <f>SUM(E5:E10)</f>
        <v>21000</v>
      </c>
      <c r="F11" s="16"/>
      <c r="G11" s="16"/>
      <c r="H11" s="16"/>
      <c r="I11" s="16">
        <v>80000</v>
      </c>
      <c r="J11" s="16"/>
      <c r="K11" s="16"/>
      <c r="L11" s="17">
        <v>5000</v>
      </c>
      <c r="M11" s="16"/>
      <c r="N11" s="16">
        <f>SUM(E11:M11)</f>
        <v>106000</v>
      </c>
      <c r="O11" s="18"/>
    </row>
    <row r="12" spans="1:15" x14ac:dyDescent="0.25">
      <c r="A12" s="7"/>
      <c r="B12" s="7"/>
      <c r="C12" s="7"/>
      <c r="D12" s="8"/>
      <c r="E12" s="7"/>
      <c r="F12" s="7"/>
      <c r="G12" s="7"/>
      <c r="H12" s="7"/>
      <c r="I12" s="7"/>
      <c r="J12" s="7"/>
      <c r="K12" s="7"/>
      <c r="L12" s="10"/>
      <c r="M12" s="7"/>
      <c r="N12" s="7"/>
      <c r="O12" s="7"/>
    </row>
    <row r="13" spans="1:15" x14ac:dyDescent="0.25">
      <c r="A13" s="7" t="s">
        <v>19</v>
      </c>
      <c r="B13" s="7" t="s">
        <v>34</v>
      </c>
      <c r="C13" s="11">
        <v>46055</v>
      </c>
      <c r="D13" s="12">
        <v>500</v>
      </c>
      <c r="E13" s="13">
        <v>10000</v>
      </c>
      <c r="F13" s="7"/>
      <c r="G13" s="7"/>
      <c r="H13" s="7"/>
      <c r="I13" s="7"/>
      <c r="J13" s="7"/>
      <c r="K13" s="7"/>
      <c r="L13" s="10"/>
      <c r="M13" s="7"/>
      <c r="N13" s="7"/>
      <c r="O13" s="7"/>
    </row>
    <row r="14" spans="1:15" x14ac:dyDescent="0.25">
      <c r="A14" s="7"/>
      <c r="B14" s="7"/>
      <c r="C14" s="11"/>
      <c r="D14" s="12"/>
      <c r="E14" s="13"/>
      <c r="F14" s="7"/>
      <c r="G14" s="7"/>
      <c r="H14" s="7"/>
      <c r="I14" s="7"/>
      <c r="J14" s="7"/>
      <c r="K14" s="7"/>
      <c r="L14" s="10"/>
      <c r="M14" s="7"/>
      <c r="N14" s="7"/>
      <c r="O14" s="7"/>
    </row>
    <row r="15" spans="1:15" x14ac:dyDescent="0.25">
      <c r="A15" s="14" t="s">
        <v>19</v>
      </c>
      <c r="B15" s="14"/>
      <c r="C15" s="14"/>
      <c r="D15" s="15">
        <f>SUM(D13:D14)</f>
        <v>500</v>
      </c>
      <c r="E15" s="16">
        <f>SUM(E13:E14)</f>
        <v>10000</v>
      </c>
      <c r="F15" s="16">
        <v>481114.85</v>
      </c>
      <c r="G15" s="16">
        <v>8850</v>
      </c>
      <c r="H15" s="16"/>
      <c r="I15" s="16">
        <v>90000</v>
      </c>
      <c r="J15" s="16">
        <v>30975</v>
      </c>
      <c r="K15" s="16">
        <v>26550</v>
      </c>
      <c r="L15" s="17"/>
      <c r="M15" s="16"/>
      <c r="N15" s="16">
        <f>SUM(E15:M15)</f>
        <v>647489.85</v>
      </c>
      <c r="O15" s="18"/>
    </row>
    <row r="16" spans="1:15" x14ac:dyDescent="0.25">
      <c r="A16" s="7"/>
      <c r="B16" s="7"/>
      <c r="C16" s="7"/>
      <c r="D16" s="8"/>
      <c r="E16" s="9"/>
      <c r="F16" s="9"/>
      <c r="G16" s="9"/>
      <c r="H16" s="9"/>
      <c r="I16" s="9"/>
      <c r="J16" s="9"/>
      <c r="K16" s="9"/>
      <c r="L16" s="10"/>
      <c r="M16" s="9"/>
      <c r="N16" s="9"/>
      <c r="O16" s="9"/>
    </row>
    <row r="17" spans="1:15" x14ac:dyDescent="0.25">
      <c r="A17" s="7" t="s">
        <v>35</v>
      </c>
      <c r="B17" s="7" t="s">
        <v>36</v>
      </c>
      <c r="C17" s="11">
        <v>46297</v>
      </c>
      <c r="D17" s="12">
        <v>1000</v>
      </c>
      <c r="E17" s="13">
        <v>15000</v>
      </c>
      <c r="F17" s="9"/>
      <c r="G17" s="9"/>
      <c r="H17" s="9"/>
      <c r="I17" s="9"/>
      <c r="J17" s="9"/>
      <c r="K17" s="9"/>
      <c r="L17" s="10"/>
      <c r="M17" s="9"/>
      <c r="N17" s="9"/>
      <c r="O17" s="9"/>
    </row>
    <row r="18" spans="1:15" x14ac:dyDescent="0.25">
      <c r="A18" s="7" t="s">
        <v>35</v>
      </c>
      <c r="B18" s="7" t="s">
        <v>37</v>
      </c>
      <c r="C18" s="11">
        <v>46267</v>
      </c>
      <c r="D18" s="12">
        <v>3000</v>
      </c>
      <c r="E18" s="13">
        <v>20000</v>
      </c>
      <c r="F18" s="9"/>
      <c r="G18" s="9"/>
      <c r="H18" s="9"/>
      <c r="I18" s="9"/>
      <c r="J18" s="9"/>
      <c r="K18" s="9"/>
      <c r="L18" s="10"/>
      <c r="M18" s="9"/>
      <c r="N18" s="9"/>
      <c r="O18" s="9"/>
    </row>
    <row r="19" spans="1:15" x14ac:dyDescent="0.25">
      <c r="A19" s="7" t="s">
        <v>35</v>
      </c>
      <c r="B19" s="7" t="s">
        <v>38</v>
      </c>
      <c r="C19" s="11">
        <v>46114</v>
      </c>
      <c r="D19" s="12">
        <v>100</v>
      </c>
      <c r="E19" s="13">
        <v>3000</v>
      </c>
      <c r="F19" s="9"/>
      <c r="G19" s="9"/>
      <c r="H19" s="9"/>
      <c r="I19" s="9"/>
      <c r="J19" s="9"/>
      <c r="K19" s="9"/>
      <c r="L19" s="10"/>
      <c r="M19" s="9"/>
      <c r="N19" s="9"/>
      <c r="O19" s="9"/>
    </row>
    <row r="20" spans="1:15" x14ac:dyDescent="0.25">
      <c r="A20" s="7" t="s">
        <v>35</v>
      </c>
      <c r="B20" s="7" t="s">
        <v>39</v>
      </c>
      <c r="C20" s="11" t="s">
        <v>40</v>
      </c>
      <c r="D20" s="12">
        <v>1000</v>
      </c>
      <c r="E20" s="13">
        <v>15000</v>
      </c>
      <c r="F20" s="9"/>
      <c r="G20" s="9"/>
      <c r="H20" s="9"/>
      <c r="I20" s="9"/>
      <c r="J20" s="9"/>
      <c r="K20" s="9"/>
      <c r="L20" s="10"/>
      <c r="M20" s="9"/>
      <c r="N20" s="9"/>
      <c r="O20" s="9"/>
    </row>
    <row r="21" spans="1:15" x14ac:dyDescent="0.25">
      <c r="A21" s="7" t="s">
        <v>35</v>
      </c>
      <c r="B21" s="7" t="s">
        <v>41</v>
      </c>
      <c r="C21" s="11" t="s">
        <v>42</v>
      </c>
      <c r="D21" s="12">
        <v>100</v>
      </c>
      <c r="E21" s="13">
        <v>3000</v>
      </c>
      <c r="F21" s="9"/>
      <c r="G21" s="9"/>
      <c r="H21" s="9"/>
      <c r="I21" s="9"/>
      <c r="J21" s="9"/>
      <c r="K21" s="9"/>
      <c r="L21" s="10"/>
      <c r="M21" s="9"/>
      <c r="N21" s="9"/>
      <c r="O21" s="9"/>
    </row>
    <row r="22" spans="1:15" x14ac:dyDescent="0.25">
      <c r="A22" s="7"/>
      <c r="B22" s="7"/>
      <c r="C22" s="11"/>
      <c r="D22" s="12"/>
      <c r="E22" s="13"/>
      <c r="F22" s="9"/>
      <c r="G22" s="9"/>
      <c r="H22" s="9"/>
      <c r="I22" s="9"/>
      <c r="J22" s="9"/>
      <c r="K22" s="9"/>
      <c r="L22" s="10"/>
      <c r="M22" s="9"/>
      <c r="N22" s="9"/>
      <c r="O22" s="9"/>
    </row>
    <row r="23" spans="1:15" x14ac:dyDescent="0.25">
      <c r="A23" s="14" t="s">
        <v>20</v>
      </c>
      <c r="B23" s="14"/>
      <c r="C23" s="14"/>
      <c r="D23" s="15">
        <f>SUM(D17:D22)</f>
        <v>5200</v>
      </c>
      <c r="E23" s="16">
        <f>SUM(E17:E22)</f>
        <v>56000</v>
      </c>
      <c r="F23" s="16"/>
      <c r="G23" s="16"/>
      <c r="H23" s="16"/>
      <c r="I23" s="16">
        <v>55000</v>
      </c>
      <c r="J23" s="16"/>
      <c r="K23" s="16"/>
      <c r="L23" s="17">
        <v>5000</v>
      </c>
      <c r="M23" s="16"/>
      <c r="N23" s="16">
        <f>SUM(E23:M23)</f>
        <v>116000</v>
      </c>
      <c r="O23" s="18"/>
    </row>
    <row r="24" spans="1:15" x14ac:dyDescent="0.25">
      <c r="A24" s="7"/>
      <c r="B24" s="7"/>
      <c r="C24" s="7"/>
      <c r="D24" s="8"/>
      <c r="E24" s="9"/>
      <c r="F24" s="9"/>
      <c r="G24" s="9"/>
      <c r="H24" s="9"/>
      <c r="I24" s="9"/>
      <c r="J24" s="9"/>
      <c r="K24" s="9"/>
      <c r="L24" s="10"/>
      <c r="M24" s="9"/>
      <c r="N24" s="9"/>
      <c r="O24" s="9"/>
    </row>
    <row r="25" spans="1:15" x14ac:dyDescent="0.25">
      <c r="A25" s="14" t="s">
        <v>21</v>
      </c>
      <c r="B25" s="14"/>
      <c r="C25" s="14"/>
      <c r="D25" s="19"/>
      <c r="E25" s="16"/>
      <c r="F25" s="16">
        <v>252906.3</v>
      </c>
      <c r="G25" s="16">
        <v>8850</v>
      </c>
      <c r="H25" s="16"/>
      <c r="I25" s="16">
        <v>87000</v>
      </c>
      <c r="J25" s="16">
        <v>13275</v>
      </c>
      <c r="K25" s="16">
        <v>26550</v>
      </c>
      <c r="L25" s="17"/>
      <c r="M25" s="16"/>
      <c r="N25" s="16">
        <f>SUM(E25:M25)</f>
        <v>388581.3</v>
      </c>
      <c r="O25" s="18"/>
    </row>
    <row r="26" spans="1:15" x14ac:dyDescent="0.25">
      <c r="A26" s="7"/>
      <c r="B26" s="7"/>
      <c r="C26" s="11"/>
      <c r="D26" s="12"/>
      <c r="E26" s="13"/>
      <c r="F26" s="9"/>
      <c r="G26" s="9"/>
      <c r="H26" s="9"/>
      <c r="I26" s="9"/>
      <c r="J26" s="9"/>
      <c r="K26" s="9"/>
      <c r="L26" s="10"/>
      <c r="M26" s="9"/>
      <c r="N26" s="9"/>
      <c r="O26" s="9"/>
    </row>
    <row r="27" spans="1:15" x14ac:dyDescent="0.25">
      <c r="A27" s="7" t="s">
        <v>43</v>
      </c>
      <c r="B27" s="7" t="s">
        <v>44</v>
      </c>
      <c r="C27" s="11">
        <v>46144</v>
      </c>
      <c r="D27" s="12">
        <v>100</v>
      </c>
      <c r="E27" s="13">
        <v>3500</v>
      </c>
      <c r="F27" s="9"/>
      <c r="G27" s="9"/>
      <c r="H27" s="9"/>
      <c r="I27" s="9"/>
      <c r="J27" s="9"/>
      <c r="K27" s="9"/>
      <c r="L27" s="10"/>
      <c r="M27" s="9"/>
      <c r="N27" s="9"/>
      <c r="O27" s="9"/>
    </row>
    <row r="28" spans="1:15" x14ac:dyDescent="0.25">
      <c r="A28" s="7" t="s">
        <v>43</v>
      </c>
      <c r="B28" s="7" t="s">
        <v>45</v>
      </c>
      <c r="C28" s="11">
        <v>46144</v>
      </c>
      <c r="D28" s="12">
        <v>100</v>
      </c>
      <c r="E28" s="13">
        <v>3500</v>
      </c>
      <c r="F28" s="9"/>
      <c r="G28" s="9"/>
      <c r="H28" s="9"/>
      <c r="I28" s="9"/>
      <c r="J28" s="9"/>
      <c r="K28" s="9"/>
      <c r="L28" s="10"/>
      <c r="M28" s="9"/>
      <c r="N28" s="9"/>
      <c r="O28" s="9"/>
    </row>
    <row r="29" spans="1:15" x14ac:dyDescent="0.25">
      <c r="A29" s="7" t="s">
        <v>43</v>
      </c>
      <c r="B29" s="7" t="s">
        <v>46</v>
      </c>
      <c r="C29" s="11">
        <v>46175</v>
      </c>
      <c r="D29" s="12">
        <v>100</v>
      </c>
      <c r="E29" s="13">
        <v>3500</v>
      </c>
      <c r="F29" s="9"/>
      <c r="G29" s="9"/>
      <c r="H29" s="9"/>
      <c r="I29" s="9"/>
      <c r="J29" s="9"/>
      <c r="K29" s="9"/>
      <c r="L29" s="10"/>
      <c r="M29" s="9"/>
      <c r="N29" s="9"/>
      <c r="O29" s="9"/>
    </row>
    <row r="30" spans="1:15" x14ac:dyDescent="0.25">
      <c r="A30" s="7" t="s">
        <v>43</v>
      </c>
      <c r="B30" s="7" t="s">
        <v>47</v>
      </c>
      <c r="C30" s="11">
        <v>46114</v>
      </c>
      <c r="D30" s="12">
        <v>111</v>
      </c>
      <c r="E30" s="13">
        <v>3500</v>
      </c>
      <c r="F30" s="9"/>
      <c r="G30" s="9"/>
      <c r="H30" s="9"/>
      <c r="I30" s="9"/>
      <c r="J30" s="9"/>
      <c r="K30" s="9"/>
      <c r="L30" s="10"/>
      <c r="M30" s="9"/>
      <c r="N30" s="9"/>
      <c r="O30" s="9"/>
    </row>
    <row r="31" spans="1:15" x14ac:dyDescent="0.25">
      <c r="A31" s="7" t="s">
        <v>43</v>
      </c>
      <c r="B31" s="7" t="s">
        <v>48</v>
      </c>
      <c r="C31" s="11">
        <v>46297</v>
      </c>
      <c r="D31" s="12">
        <v>100</v>
      </c>
      <c r="E31" s="13">
        <v>3500</v>
      </c>
      <c r="F31" s="9"/>
      <c r="G31" s="9"/>
      <c r="H31" s="9"/>
      <c r="I31" s="9"/>
      <c r="J31" s="9"/>
      <c r="K31" s="9"/>
      <c r="L31" s="10"/>
      <c r="M31" s="9"/>
      <c r="N31" s="9"/>
      <c r="O31" s="9"/>
    </row>
    <row r="32" spans="1:15" x14ac:dyDescent="0.25">
      <c r="A32" s="7" t="s">
        <v>43</v>
      </c>
      <c r="B32" s="7" t="s">
        <v>49</v>
      </c>
      <c r="C32" s="11">
        <v>46358</v>
      </c>
      <c r="D32" s="12">
        <v>100</v>
      </c>
      <c r="E32" s="13">
        <v>3500</v>
      </c>
      <c r="F32" s="9"/>
      <c r="G32" s="9"/>
      <c r="H32" s="9"/>
      <c r="I32" s="9"/>
      <c r="J32" s="9"/>
      <c r="K32" s="9"/>
      <c r="L32" s="10"/>
      <c r="M32" s="9"/>
      <c r="N32" s="9"/>
      <c r="O32" s="9"/>
    </row>
    <row r="33" spans="1:15" x14ac:dyDescent="0.25">
      <c r="A33" s="7" t="s">
        <v>43</v>
      </c>
      <c r="B33" s="7" t="s">
        <v>50</v>
      </c>
      <c r="C33" s="11">
        <v>46358</v>
      </c>
      <c r="D33" s="12">
        <v>114</v>
      </c>
      <c r="E33" s="13">
        <v>3500</v>
      </c>
      <c r="F33" s="9"/>
      <c r="G33" s="9"/>
      <c r="H33" s="9"/>
      <c r="I33" s="9"/>
      <c r="J33" s="9"/>
      <c r="K33" s="9"/>
      <c r="L33" s="10"/>
      <c r="M33" s="9"/>
      <c r="N33" s="9"/>
      <c r="O33" s="9"/>
    </row>
    <row r="34" spans="1:15" x14ac:dyDescent="0.25">
      <c r="A34" s="7" t="s">
        <v>43</v>
      </c>
      <c r="B34" s="7" t="s">
        <v>51</v>
      </c>
      <c r="C34" s="11" t="s">
        <v>52</v>
      </c>
      <c r="D34" s="12">
        <v>750</v>
      </c>
      <c r="E34" s="13">
        <v>10000</v>
      </c>
      <c r="F34" s="9"/>
      <c r="G34" s="9"/>
      <c r="H34" s="9"/>
      <c r="I34" s="9"/>
      <c r="J34" s="9"/>
      <c r="K34" s="9"/>
      <c r="L34" s="10"/>
      <c r="M34" s="9"/>
      <c r="N34" s="9"/>
      <c r="O34" s="9"/>
    </row>
    <row r="35" spans="1:15" x14ac:dyDescent="0.25">
      <c r="A35" s="7" t="s">
        <v>43</v>
      </c>
      <c r="B35" s="7" t="s">
        <v>53</v>
      </c>
      <c r="C35" s="11" t="s">
        <v>54</v>
      </c>
      <c r="D35" s="12">
        <v>104</v>
      </c>
      <c r="E35" s="13">
        <v>3500</v>
      </c>
      <c r="F35" s="9"/>
      <c r="G35" s="9"/>
      <c r="H35" s="9"/>
      <c r="I35" s="9"/>
      <c r="J35" s="9"/>
      <c r="K35" s="9"/>
      <c r="L35" s="10"/>
      <c r="M35" s="9"/>
      <c r="N35" s="9"/>
      <c r="O35" s="9"/>
    </row>
    <row r="36" spans="1:15" x14ac:dyDescent="0.25">
      <c r="A36" s="7" t="s">
        <v>43</v>
      </c>
      <c r="B36" s="7" t="s">
        <v>55</v>
      </c>
      <c r="C36" s="11" t="s">
        <v>33</v>
      </c>
      <c r="D36" s="12">
        <v>100</v>
      </c>
      <c r="E36" s="13">
        <v>3500</v>
      </c>
      <c r="F36" s="9"/>
      <c r="G36" s="9"/>
      <c r="H36" s="9"/>
      <c r="I36" s="9"/>
      <c r="J36" s="9"/>
      <c r="K36" s="9"/>
      <c r="L36" s="10"/>
      <c r="M36" s="9"/>
      <c r="N36" s="9"/>
      <c r="O36" s="9"/>
    </row>
    <row r="37" spans="1:15" x14ac:dyDescent="0.25">
      <c r="A37" s="7" t="s">
        <v>43</v>
      </c>
      <c r="B37" s="7" t="s">
        <v>56</v>
      </c>
      <c r="C37" s="11" t="s">
        <v>42</v>
      </c>
      <c r="D37" s="12">
        <v>100</v>
      </c>
      <c r="E37" s="13">
        <v>3500</v>
      </c>
      <c r="F37" s="9"/>
      <c r="G37" s="9"/>
      <c r="H37" s="9"/>
      <c r="I37" s="9"/>
      <c r="J37" s="9"/>
      <c r="K37" s="9"/>
      <c r="L37" s="10"/>
      <c r="M37" s="9"/>
      <c r="N37" s="9"/>
      <c r="O37" s="9"/>
    </row>
    <row r="38" spans="1:15" x14ac:dyDescent="0.25">
      <c r="A38" s="7"/>
      <c r="B38" s="7"/>
      <c r="C38" s="11"/>
      <c r="D38" s="12"/>
      <c r="E38" s="13"/>
      <c r="F38" s="9"/>
      <c r="G38" s="9"/>
      <c r="H38" s="9"/>
      <c r="I38" s="9"/>
      <c r="J38" s="9"/>
      <c r="K38" s="9"/>
      <c r="L38" s="10"/>
      <c r="M38" s="9"/>
      <c r="N38" s="9"/>
      <c r="O38" s="9"/>
    </row>
    <row r="39" spans="1:15" x14ac:dyDescent="0.25">
      <c r="A39" s="14" t="s">
        <v>22</v>
      </c>
      <c r="B39" s="14"/>
      <c r="C39" s="14"/>
      <c r="D39" s="15">
        <f>SUM(D27:D37)</f>
        <v>1779</v>
      </c>
      <c r="E39" s="16">
        <f>SUM(E27:E37)</f>
        <v>45000</v>
      </c>
      <c r="F39" s="16"/>
      <c r="G39" s="16">
        <v>7000</v>
      </c>
      <c r="H39" s="16">
        <v>6000</v>
      </c>
      <c r="I39" s="16">
        <v>55000</v>
      </c>
      <c r="J39" s="16"/>
      <c r="K39" s="16">
        <v>5000</v>
      </c>
      <c r="L39" s="17">
        <v>5000</v>
      </c>
      <c r="M39" s="16"/>
      <c r="N39" s="16">
        <f>SUM(E39:M39)</f>
        <v>123000</v>
      </c>
      <c r="O39" s="18"/>
    </row>
    <row r="40" spans="1:15" x14ac:dyDescent="0.25">
      <c r="A40" s="7"/>
      <c r="B40" s="7"/>
      <c r="C40" s="7"/>
      <c r="D40" s="12"/>
      <c r="E40" s="13"/>
      <c r="F40" s="9"/>
      <c r="G40" s="9"/>
      <c r="H40" s="9"/>
      <c r="I40" s="9"/>
      <c r="J40" s="9"/>
      <c r="K40" s="9"/>
      <c r="L40" s="10"/>
      <c r="M40" s="9"/>
      <c r="N40" s="9"/>
      <c r="O40" s="9"/>
    </row>
    <row r="41" spans="1:15" x14ac:dyDescent="0.25">
      <c r="A41" s="7" t="s">
        <v>23</v>
      </c>
      <c r="B41" s="7" t="s">
        <v>57</v>
      </c>
      <c r="C41" s="11">
        <v>46175</v>
      </c>
      <c r="D41" s="12">
        <v>100</v>
      </c>
      <c r="E41" s="13">
        <v>3000</v>
      </c>
      <c r="F41" s="9"/>
      <c r="G41" s="9"/>
      <c r="H41" s="9"/>
      <c r="I41" s="9"/>
      <c r="J41" s="9"/>
      <c r="K41" s="9"/>
      <c r="L41" s="10"/>
      <c r="M41" s="9"/>
      <c r="N41" s="9"/>
      <c r="O41" s="9"/>
    </row>
    <row r="42" spans="1:15" x14ac:dyDescent="0.25">
      <c r="A42" s="7" t="s">
        <v>58</v>
      </c>
      <c r="B42" s="7" t="s">
        <v>59</v>
      </c>
      <c r="C42" s="7" t="s">
        <v>54</v>
      </c>
      <c r="D42" s="12">
        <v>100</v>
      </c>
      <c r="E42" s="13">
        <v>3000</v>
      </c>
      <c r="F42" s="9"/>
      <c r="G42" s="9"/>
      <c r="H42" s="9"/>
      <c r="I42" s="9"/>
      <c r="J42" s="9"/>
      <c r="K42" s="9"/>
      <c r="L42" s="10"/>
      <c r="M42" s="9"/>
      <c r="N42" s="9"/>
      <c r="O42" s="9"/>
    </row>
    <row r="43" spans="1:15" x14ac:dyDescent="0.25">
      <c r="A43" s="7" t="s">
        <v>58</v>
      </c>
      <c r="B43" s="7" t="s">
        <v>60</v>
      </c>
      <c r="C43" s="7" t="s">
        <v>61</v>
      </c>
      <c r="D43" s="12">
        <v>100</v>
      </c>
      <c r="E43" s="13">
        <v>3000</v>
      </c>
      <c r="F43" s="9"/>
      <c r="G43" s="9"/>
      <c r="H43" s="9"/>
      <c r="I43" s="9"/>
      <c r="J43" s="9"/>
      <c r="K43" s="9"/>
      <c r="L43" s="10"/>
      <c r="M43" s="9"/>
      <c r="N43" s="9"/>
      <c r="O43" s="9"/>
    </row>
    <row r="44" spans="1:15" x14ac:dyDescent="0.25">
      <c r="A44" s="7"/>
      <c r="B44" s="7"/>
      <c r="C44" s="7"/>
      <c r="D44" s="12"/>
      <c r="E44" s="13"/>
      <c r="F44" s="9"/>
      <c r="G44" s="9"/>
      <c r="H44" s="9"/>
      <c r="I44" s="9"/>
      <c r="J44" s="9"/>
      <c r="K44" s="9"/>
      <c r="L44" s="10"/>
      <c r="M44" s="9"/>
      <c r="N44" s="9"/>
      <c r="O44" s="9"/>
    </row>
    <row r="45" spans="1:15" x14ac:dyDescent="0.25">
      <c r="A45" s="14" t="s">
        <v>23</v>
      </c>
      <c r="B45" s="14"/>
      <c r="C45" s="14"/>
      <c r="D45" s="15">
        <f>SUM(D41:D44)</f>
        <v>300</v>
      </c>
      <c r="E45" s="16">
        <f>SUM(E41:E44)</f>
        <v>9000</v>
      </c>
      <c r="F45" s="16">
        <v>500</v>
      </c>
      <c r="G45" s="16"/>
      <c r="H45" s="16"/>
      <c r="I45" s="16">
        <v>70000</v>
      </c>
      <c r="J45" s="16"/>
      <c r="K45" s="16"/>
      <c r="L45" s="17">
        <v>5000</v>
      </c>
      <c r="M45" s="16"/>
      <c r="N45" s="16">
        <f>SUM(E45:M45)</f>
        <v>84500</v>
      </c>
      <c r="O45" s="18"/>
    </row>
    <row r="46" spans="1:15" x14ac:dyDescent="0.25">
      <c r="A46" s="20"/>
      <c r="B46" s="20"/>
      <c r="C46" s="20"/>
      <c r="D46" s="21"/>
      <c r="E46" s="18"/>
      <c r="F46" s="18"/>
      <c r="G46" s="18"/>
      <c r="H46" s="18"/>
      <c r="I46" s="18"/>
      <c r="J46" s="18"/>
      <c r="K46" s="18"/>
      <c r="L46" s="22"/>
      <c r="M46" s="18"/>
      <c r="N46" s="18"/>
      <c r="O46" s="18"/>
    </row>
    <row r="47" spans="1:15" x14ac:dyDescent="0.25">
      <c r="A47" s="7" t="s">
        <v>24</v>
      </c>
      <c r="B47" s="7" t="s">
        <v>62</v>
      </c>
      <c r="C47" s="11">
        <v>46175</v>
      </c>
      <c r="D47" s="12">
        <v>1000</v>
      </c>
      <c r="E47" s="13">
        <v>15000</v>
      </c>
      <c r="F47" s="18"/>
      <c r="G47" s="18"/>
      <c r="H47" s="18"/>
      <c r="I47" s="18"/>
      <c r="J47" s="18"/>
      <c r="K47" s="18"/>
      <c r="L47" s="22"/>
      <c r="M47" s="18"/>
      <c r="N47" s="18"/>
      <c r="O47" s="18"/>
    </row>
    <row r="48" spans="1:15" x14ac:dyDescent="0.25">
      <c r="A48" s="7" t="s">
        <v>24</v>
      </c>
      <c r="B48" s="7" t="s">
        <v>63</v>
      </c>
      <c r="C48" s="11">
        <v>46267</v>
      </c>
      <c r="D48" s="12">
        <v>1000</v>
      </c>
      <c r="E48" s="13">
        <v>15000</v>
      </c>
      <c r="F48" s="18"/>
      <c r="G48" s="18"/>
      <c r="H48" s="18"/>
      <c r="I48" s="18"/>
      <c r="J48" s="18"/>
      <c r="K48" s="18"/>
      <c r="L48" s="22"/>
      <c r="M48" s="18"/>
      <c r="N48" s="18"/>
      <c r="O48" s="18"/>
    </row>
    <row r="49" spans="1:15" x14ac:dyDescent="0.25">
      <c r="A49" s="7" t="s">
        <v>24</v>
      </c>
      <c r="B49" s="7" t="s">
        <v>64</v>
      </c>
      <c r="C49" s="11">
        <v>46267</v>
      </c>
      <c r="D49" s="12">
        <v>1000</v>
      </c>
      <c r="E49" s="13">
        <v>15000</v>
      </c>
      <c r="F49" s="18"/>
      <c r="G49" s="18"/>
      <c r="H49" s="18"/>
      <c r="I49" s="18"/>
      <c r="J49" s="18"/>
      <c r="K49" s="18"/>
      <c r="L49" s="22"/>
      <c r="M49" s="18"/>
      <c r="N49" s="18"/>
      <c r="O49" s="18"/>
    </row>
    <row r="50" spans="1:15" x14ac:dyDescent="0.25">
      <c r="A50" s="7" t="s">
        <v>24</v>
      </c>
      <c r="B50" s="7" t="s">
        <v>65</v>
      </c>
      <c r="C50" s="11" t="s">
        <v>66</v>
      </c>
      <c r="D50" s="12">
        <v>109</v>
      </c>
      <c r="E50" s="13">
        <v>3000</v>
      </c>
      <c r="F50" s="18"/>
      <c r="G50" s="18"/>
      <c r="H50" s="18"/>
      <c r="I50" s="18"/>
      <c r="J50" s="18"/>
      <c r="K50" s="18"/>
      <c r="L50" s="22"/>
      <c r="M50" s="18"/>
      <c r="N50" s="18"/>
      <c r="O50" s="18"/>
    </row>
    <row r="51" spans="1:15" x14ac:dyDescent="0.25">
      <c r="A51" s="7" t="s">
        <v>24</v>
      </c>
      <c r="B51" s="7" t="s">
        <v>67</v>
      </c>
      <c r="C51" s="11" t="s">
        <v>33</v>
      </c>
      <c r="D51" s="12">
        <v>100</v>
      </c>
      <c r="E51" s="13">
        <v>3000</v>
      </c>
      <c r="F51" s="18"/>
      <c r="G51" s="18"/>
      <c r="H51" s="18"/>
      <c r="I51" s="18"/>
      <c r="J51" s="18"/>
      <c r="K51" s="18"/>
      <c r="L51" s="22"/>
      <c r="M51" s="18"/>
      <c r="N51" s="18"/>
      <c r="O51" s="18"/>
    </row>
    <row r="52" spans="1:15" x14ac:dyDescent="0.25">
      <c r="A52" s="7" t="s">
        <v>24</v>
      </c>
      <c r="B52" s="7" t="s">
        <v>68</v>
      </c>
      <c r="C52" s="11" t="s">
        <v>33</v>
      </c>
      <c r="D52" s="12">
        <v>250</v>
      </c>
      <c r="E52" s="13">
        <v>3000</v>
      </c>
      <c r="F52" s="18"/>
      <c r="G52" s="18"/>
      <c r="H52" s="18"/>
      <c r="I52" s="18"/>
      <c r="J52" s="18"/>
      <c r="K52" s="18"/>
      <c r="L52" s="22"/>
      <c r="M52" s="18"/>
      <c r="N52" s="18"/>
      <c r="O52" s="18"/>
    </row>
    <row r="53" spans="1:15" x14ac:dyDescent="0.25">
      <c r="A53" s="7" t="s">
        <v>24</v>
      </c>
      <c r="B53" s="7" t="s">
        <v>84</v>
      </c>
      <c r="C53" s="11">
        <v>46083</v>
      </c>
      <c r="D53" s="12">
        <v>5000</v>
      </c>
      <c r="E53" s="13">
        <v>10000</v>
      </c>
      <c r="F53" s="18"/>
      <c r="G53" s="18"/>
      <c r="H53" s="18"/>
      <c r="I53" s="18"/>
      <c r="J53" s="18"/>
      <c r="K53" s="18"/>
      <c r="L53" s="22"/>
      <c r="M53" s="18"/>
      <c r="N53" s="18"/>
      <c r="O53" s="18"/>
    </row>
    <row r="54" spans="1:15" x14ac:dyDescent="0.25">
      <c r="A54" s="7"/>
      <c r="B54" s="7"/>
      <c r="C54" s="11"/>
      <c r="D54" s="12"/>
      <c r="E54" s="13"/>
      <c r="F54" s="18"/>
      <c r="G54" s="18"/>
      <c r="H54" s="18"/>
      <c r="I54" s="18"/>
      <c r="J54" s="18"/>
      <c r="K54" s="18"/>
      <c r="L54" s="22"/>
      <c r="M54" s="18"/>
      <c r="N54" s="18"/>
      <c r="O54" s="18"/>
    </row>
    <row r="55" spans="1:15" x14ac:dyDescent="0.25">
      <c r="A55" s="14" t="s">
        <v>24</v>
      </c>
      <c r="B55" s="14"/>
      <c r="C55" s="14"/>
      <c r="D55" s="15">
        <f>SUM(D47:D54)</f>
        <v>8459</v>
      </c>
      <c r="E55" s="16">
        <f>SUM(E47:E54)</f>
        <v>64000</v>
      </c>
      <c r="F55" s="16"/>
      <c r="G55" s="16">
        <v>7000</v>
      </c>
      <c r="H55" s="16"/>
      <c r="I55" s="16">
        <v>55000</v>
      </c>
      <c r="J55" s="16"/>
      <c r="K55" s="16"/>
      <c r="L55" s="17"/>
      <c r="M55" s="16"/>
      <c r="N55" s="16">
        <f>SUM(E55:M55)</f>
        <v>126000</v>
      </c>
      <c r="O55" s="18"/>
    </row>
    <row r="56" spans="1:15" x14ac:dyDescent="0.25">
      <c r="A56" s="20"/>
      <c r="B56" s="20"/>
      <c r="C56" s="20"/>
      <c r="D56" s="21"/>
      <c r="E56" s="18"/>
      <c r="F56" s="18"/>
      <c r="G56" s="18"/>
      <c r="H56" s="18"/>
      <c r="I56" s="18"/>
      <c r="J56" s="18"/>
      <c r="K56" s="18"/>
      <c r="L56" s="22"/>
      <c r="M56" s="18"/>
      <c r="N56" s="18"/>
      <c r="O56" s="18"/>
    </row>
    <row r="57" spans="1:15" x14ac:dyDescent="0.25">
      <c r="A57" s="7" t="s">
        <v>25</v>
      </c>
      <c r="B57" s="11" t="s">
        <v>69</v>
      </c>
      <c r="C57" s="11">
        <v>46175</v>
      </c>
      <c r="D57" s="12">
        <v>260</v>
      </c>
      <c r="E57" s="13">
        <v>6000</v>
      </c>
      <c r="F57" s="18"/>
      <c r="G57" s="18"/>
      <c r="H57" s="18"/>
      <c r="I57" s="18"/>
      <c r="J57" s="18"/>
      <c r="K57" s="18"/>
      <c r="L57" s="22"/>
      <c r="M57" s="18"/>
      <c r="N57" s="18"/>
      <c r="O57" s="18"/>
    </row>
    <row r="58" spans="1:15" x14ac:dyDescent="0.25">
      <c r="A58" s="7" t="s">
        <v>25</v>
      </c>
      <c r="B58" s="7" t="s">
        <v>70</v>
      </c>
      <c r="C58" s="11">
        <v>46205</v>
      </c>
      <c r="D58" s="12">
        <v>110</v>
      </c>
      <c r="E58" s="13">
        <v>3000</v>
      </c>
      <c r="F58" s="18"/>
      <c r="G58" s="18"/>
      <c r="H58" s="18"/>
      <c r="I58" s="18"/>
      <c r="J58" s="18"/>
      <c r="K58" s="18"/>
      <c r="L58" s="22"/>
      <c r="M58" s="18"/>
      <c r="N58" s="18"/>
      <c r="O58" s="18"/>
    </row>
    <row r="59" spans="1:15" x14ac:dyDescent="0.25">
      <c r="A59" s="7" t="s">
        <v>25</v>
      </c>
      <c r="B59" s="7" t="s">
        <v>71</v>
      </c>
      <c r="C59" s="11">
        <v>46267</v>
      </c>
      <c r="D59" s="12">
        <v>110</v>
      </c>
      <c r="E59" s="13">
        <v>3000</v>
      </c>
      <c r="F59" s="18"/>
      <c r="G59" s="18"/>
      <c r="H59" s="18"/>
      <c r="I59" s="18"/>
      <c r="J59" s="18"/>
      <c r="K59" s="18"/>
      <c r="L59" s="22"/>
      <c r="M59" s="18"/>
      <c r="N59" s="18"/>
      <c r="O59" s="18"/>
    </row>
    <row r="60" spans="1:15" x14ac:dyDescent="0.25">
      <c r="A60" s="7" t="s">
        <v>25</v>
      </c>
      <c r="B60" s="7" t="s">
        <v>72</v>
      </c>
      <c r="C60" s="11">
        <v>46114</v>
      </c>
      <c r="D60" s="12">
        <v>520</v>
      </c>
      <c r="E60" s="13">
        <v>10000</v>
      </c>
      <c r="F60" s="18"/>
      <c r="G60" s="18"/>
      <c r="H60" s="18"/>
      <c r="I60" s="18"/>
      <c r="J60" s="18"/>
      <c r="K60" s="18"/>
      <c r="L60" s="22"/>
      <c r="M60" s="18"/>
      <c r="N60" s="18"/>
      <c r="O60" s="18"/>
    </row>
    <row r="61" spans="1:15" x14ac:dyDescent="0.25">
      <c r="A61" s="7" t="s">
        <v>25</v>
      </c>
      <c r="B61" s="7" t="s">
        <v>73</v>
      </c>
      <c r="C61" s="11">
        <v>46328</v>
      </c>
      <c r="D61" s="12">
        <v>400</v>
      </c>
      <c r="E61" s="13">
        <v>6000</v>
      </c>
      <c r="F61" s="18"/>
      <c r="G61" s="18"/>
      <c r="H61" s="18"/>
      <c r="I61" s="18"/>
      <c r="J61" s="18"/>
      <c r="K61" s="18"/>
      <c r="L61" s="22"/>
      <c r="M61" s="18"/>
      <c r="N61" s="18"/>
      <c r="O61" s="18"/>
    </row>
    <row r="62" spans="1:15" x14ac:dyDescent="0.25">
      <c r="A62" s="7" t="s">
        <v>25</v>
      </c>
      <c r="B62" s="7" t="s">
        <v>74</v>
      </c>
      <c r="C62" s="11" t="s">
        <v>52</v>
      </c>
      <c r="D62" s="12">
        <v>110</v>
      </c>
      <c r="E62" s="13">
        <v>3000</v>
      </c>
      <c r="F62" s="18"/>
      <c r="G62" s="18"/>
      <c r="H62" s="18"/>
      <c r="I62" s="18"/>
      <c r="J62" s="18"/>
      <c r="K62" s="18"/>
      <c r="L62" s="22"/>
      <c r="M62" s="18"/>
      <c r="N62" s="18"/>
      <c r="O62" s="18"/>
    </row>
    <row r="63" spans="1:15" x14ac:dyDescent="0.25">
      <c r="A63" s="7" t="s">
        <v>25</v>
      </c>
      <c r="B63" s="7" t="s">
        <v>76</v>
      </c>
      <c r="C63" s="11" t="s">
        <v>75</v>
      </c>
      <c r="D63" s="12">
        <v>100</v>
      </c>
      <c r="E63" s="13">
        <v>3000</v>
      </c>
      <c r="F63" s="18"/>
      <c r="G63" s="18"/>
      <c r="H63" s="18"/>
      <c r="I63" s="18"/>
      <c r="J63" s="18"/>
      <c r="K63" s="18"/>
      <c r="L63" s="22"/>
      <c r="M63" s="18"/>
      <c r="N63" s="18"/>
      <c r="O63" s="18"/>
    </row>
    <row r="64" spans="1:15" x14ac:dyDescent="0.25">
      <c r="A64" s="7" t="s">
        <v>25</v>
      </c>
      <c r="B64" s="7" t="s">
        <v>77</v>
      </c>
      <c r="C64" s="11" t="s">
        <v>66</v>
      </c>
      <c r="D64" s="12">
        <v>100</v>
      </c>
      <c r="E64" s="13">
        <v>3000</v>
      </c>
      <c r="F64" s="18"/>
      <c r="G64" s="18"/>
      <c r="H64" s="18"/>
      <c r="I64" s="18"/>
      <c r="J64" s="18"/>
      <c r="K64" s="18"/>
      <c r="L64" s="22"/>
      <c r="M64" s="18"/>
      <c r="N64" s="18"/>
      <c r="O64" s="18"/>
    </row>
    <row r="65" spans="1:15" x14ac:dyDescent="0.25">
      <c r="A65" s="7" t="s">
        <v>25</v>
      </c>
      <c r="B65" s="7" t="s">
        <v>78</v>
      </c>
      <c r="C65" s="11" t="s">
        <v>61</v>
      </c>
      <c r="D65" s="12">
        <v>510</v>
      </c>
      <c r="E65" s="13">
        <v>10000</v>
      </c>
      <c r="F65" s="18"/>
      <c r="G65" s="18"/>
      <c r="H65" s="18"/>
      <c r="I65" s="18"/>
      <c r="J65" s="18"/>
      <c r="K65" s="18"/>
      <c r="L65" s="22"/>
      <c r="M65" s="18"/>
      <c r="N65" s="18"/>
      <c r="O65" s="18"/>
    </row>
    <row r="66" spans="1:15" x14ac:dyDescent="0.25">
      <c r="A66" s="7" t="s">
        <v>25</v>
      </c>
      <c r="B66" s="7" t="s">
        <v>80</v>
      </c>
      <c r="C66" s="11" t="s">
        <v>79</v>
      </c>
      <c r="D66" s="12">
        <v>100</v>
      </c>
      <c r="E66" s="13">
        <v>3000</v>
      </c>
      <c r="F66" s="18"/>
      <c r="G66" s="18"/>
      <c r="H66" s="18"/>
      <c r="I66" s="18"/>
      <c r="J66" s="18"/>
      <c r="K66" s="18"/>
      <c r="L66" s="22"/>
      <c r="M66" s="18"/>
      <c r="N66" s="18"/>
      <c r="O66" s="18"/>
    </row>
    <row r="67" spans="1:15" x14ac:dyDescent="0.25">
      <c r="A67" s="7"/>
      <c r="B67" s="7"/>
      <c r="C67" s="7"/>
      <c r="D67" s="12"/>
      <c r="E67" s="13"/>
      <c r="F67" s="18"/>
      <c r="G67" s="18"/>
      <c r="H67" s="18"/>
      <c r="I67" s="18"/>
      <c r="J67" s="18"/>
      <c r="K67" s="18"/>
      <c r="L67" s="22"/>
      <c r="M67" s="18"/>
      <c r="N67" s="18"/>
      <c r="O67" s="18"/>
    </row>
    <row r="68" spans="1:15" x14ac:dyDescent="0.25">
      <c r="A68" s="14" t="s">
        <v>25</v>
      </c>
      <c r="B68" s="14"/>
      <c r="C68" s="14"/>
      <c r="D68" s="15">
        <f>SUM(D57:D66)</f>
        <v>2320</v>
      </c>
      <c r="E68" s="23">
        <f>SUM(E57:E66)</f>
        <v>50000</v>
      </c>
      <c r="F68" s="16">
        <v>7612.68</v>
      </c>
      <c r="G68" s="16">
        <v>7000</v>
      </c>
      <c r="H68" s="16">
        <v>6000</v>
      </c>
      <c r="I68" s="16">
        <v>72000</v>
      </c>
      <c r="J68" s="16"/>
      <c r="K68" s="16"/>
      <c r="L68" s="17"/>
      <c r="M68" s="16"/>
      <c r="N68" s="16">
        <f>SUM(E68:M68)</f>
        <v>142612.68</v>
      </c>
      <c r="O68" s="18"/>
    </row>
    <row r="69" spans="1:15" x14ac:dyDescent="0.25">
      <c r="A69" s="20"/>
      <c r="B69" s="20"/>
      <c r="C69" s="20"/>
      <c r="D69" s="24"/>
      <c r="E69" s="25"/>
      <c r="F69" s="18"/>
      <c r="G69" s="18"/>
      <c r="H69" s="18"/>
      <c r="I69" s="18"/>
      <c r="J69" s="18"/>
      <c r="K69" s="18"/>
      <c r="L69" s="22"/>
      <c r="M69" s="18"/>
      <c r="N69" s="18"/>
      <c r="O69" s="18"/>
    </row>
    <row r="70" spans="1:15" x14ac:dyDescent="0.25">
      <c r="A70" s="7"/>
      <c r="B70" s="7"/>
      <c r="C70" s="11"/>
      <c r="D70" s="12"/>
      <c r="E70" s="13"/>
      <c r="F70" s="18"/>
      <c r="G70" s="18"/>
      <c r="H70" s="18"/>
      <c r="I70" s="18"/>
      <c r="J70" s="18"/>
      <c r="K70" s="18"/>
      <c r="L70" s="22"/>
      <c r="M70" s="18"/>
      <c r="N70" s="18"/>
      <c r="O70" s="18"/>
    </row>
    <row r="71" spans="1:15" x14ac:dyDescent="0.25">
      <c r="A71" s="14" t="s">
        <v>26</v>
      </c>
      <c r="B71" s="14"/>
      <c r="C71" s="14"/>
      <c r="D71" s="15">
        <f>SUM(D70:D70)</f>
        <v>0</v>
      </c>
      <c r="E71" s="23">
        <f>SUM(E70:E70)</f>
        <v>0</v>
      </c>
      <c r="F71" s="16"/>
      <c r="G71" s="16"/>
      <c r="H71" s="16"/>
      <c r="I71" s="16">
        <v>40833.33</v>
      </c>
      <c r="J71" s="16"/>
      <c r="K71" s="16"/>
      <c r="L71" s="17"/>
      <c r="M71" s="16"/>
      <c r="N71" s="16">
        <f>SUM(E71:M71)</f>
        <v>40833.33</v>
      </c>
      <c r="O71" s="18"/>
    </row>
    <row r="72" spans="1:15" x14ac:dyDescent="0.25">
      <c r="A72" s="14" t="s">
        <v>27</v>
      </c>
      <c r="B72" s="14"/>
      <c r="C72" s="14"/>
      <c r="D72" s="15"/>
      <c r="E72" s="23"/>
      <c r="F72" s="16"/>
      <c r="G72" s="16"/>
      <c r="H72" s="16"/>
      <c r="I72" s="16">
        <v>11666.66</v>
      </c>
      <c r="J72" s="16"/>
      <c r="K72" s="16"/>
      <c r="L72" s="17">
        <v>-5000</v>
      </c>
      <c r="M72" s="16"/>
      <c r="N72" s="16">
        <f>SUM(E72:M72)</f>
        <v>6666.66</v>
      </c>
      <c r="O72" s="18"/>
    </row>
    <row r="73" spans="1:15" x14ac:dyDescent="0.25">
      <c r="A73" s="26"/>
      <c r="B73" s="26"/>
      <c r="C73" s="26"/>
      <c r="D73" s="15">
        <f>SUM(D45,D39,D25,D23,D15,D11,D55,D68,D71)</f>
        <v>19498</v>
      </c>
      <c r="E73" s="27">
        <f>SUM(E45,E39,E25,E23,E15,E11,E68,E55,E71)</f>
        <v>255000</v>
      </c>
      <c r="F73" s="27"/>
      <c r="G73" s="26"/>
      <c r="H73" s="26"/>
      <c r="I73" s="27">
        <f>SUM(I11:I72)</f>
        <v>616499.99</v>
      </c>
      <c r="J73" s="27"/>
      <c r="K73" s="27"/>
      <c r="L73" s="28"/>
      <c r="M73" s="18"/>
      <c r="N73" s="26"/>
      <c r="O73" s="16">
        <f>SUM(N68,N55,N45,N39,N25,N23,N15,N11,N72,N71)</f>
        <v>1781683.82</v>
      </c>
    </row>
  </sheetData>
  <mergeCells count="1">
    <mergeCell ref="A1:O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2026-03-02T10:18:45Z</dcterms:created>
  <dcterms:modified xsi:type="dcterms:W3CDTF">2026-03-06T14:28:03Z</dcterms:modified>
</cp:coreProperties>
</file>