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29b0eeb32661bf/Desktop/Gross Salary File 2026/"/>
    </mc:Choice>
  </mc:AlternateContent>
  <xr:revisionPtr revIDLastSave="104" documentId="8_{7EEA57E3-11A2-4260-AB40-76BC83D07778}" xr6:coauthVersionLast="47" xr6:coauthVersionMax="47" xr10:uidLastSave="{61ACD802-4FBD-4AD6-9FD4-A716A1A4178C}"/>
  <bookViews>
    <workbookView xWindow="-109" yWindow="-109" windowWidth="26301" windowHeight="14169" xr2:uid="{219346FF-8BA8-43B8-B729-AAEF9FE7E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4" i="1" l="1"/>
  <c r="E54" i="1"/>
  <c r="O53" i="1"/>
  <c r="O15" i="1"/>
  <c r="O50" i="1"/>
  <c r="P54" i="1" s="1"/>
  <c r="E48" i="1"/>
  <c r="E43" i="1"/>
  <c r="E33" i="1"/>
  <c r="O33" i="1" s="1"/>
  <c r="E20" i="1"/>
  <c r="O20" i="1" s="1"/>
  <c r="E12" i="1"/>
  <c r="O12" i="1" s="1"/>
  <c r="O22" i="1"/>
  <c r="D43" i="1"/>
  <c r="D33" i="1"/>
  <c r="D12" i="1"/>
  <c r="O48" i="1"/>
  <c r="J54" i="1"/>
  <c r="O52" i="1"/>
  <c r="O51" i="1"/>
  <c r="D48" i="1"/>
  <c r="D20" i="1"/>
  <c r="E15" i="1"/>
  <c r="D15" i="1"/>
  <c r="D54" i="1" l="1"/>
  <c r="O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K12" authorId="0" shapeId="0" xr:uid="{D6DB31CB-0E57-4392-9A2D-66AA03718019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30$*305
</t>
        </r>
      </text>
    </comment>
    <comment ref="F15" authorId="0" shapeId="0" xr:uid="{D9001B95-0121-4B22-9A67-63AA497F04D4}">
      <text>
        <r>
          <rPr>
            <b/>
            <sz val="9"/>
            <color indexed="81"/>
            <rFont val="Tahoma"/>
            <charset val="1"/>
          </rPr>
          <t>Below 250 lots : $0.1
158.8385*0.1=$15.8
15.8*305=4844.57 LKR</t>
        </r>
      </text>
    </comment>
    <comment ref="F22" authorId="0" shapeId="0" xr:uid="{650939D4-12FF-4AC9-8EAE-8CC27E7BE811}">
      <text>
        <r>
          <rPr>
            <b/>
            <sz val="9"/>
            <color indexed="81"/>
            <rFont val="Tahoma"/>
            <charset val="1"/>
          </rPr>
          <t xml:space="preserve">Total lots = 355.2334 + 425.49 = 780.7234
300 lots = 300*1=$300
200 lots = 200*0.9=$180
280.7234 lots = 280.7234*1= $280.7234
513 lots (ECN) = 513*0.1= $51.3
Total Commission = $812.0234
Commission in LKR = $812.0234*305=247,667.137 LKR 
</t>
        </r>
      </text>
    </comment>
    <comment ref="K22" authorId="0" shapeId="0" xr:uid="{7929881D-DBB4-4FE7-96D6-D46885C96BEF}">
      <text>
        <r>
          <rPr>
            <b/>
            <sz val="9"/>
            <color indexed="81"/>
            <rFont val="Tahoma"/>
            <charset val="1"/>
          </rPr>
          <t>Threshold for above 600 lots tier $30</t>
        </r>
      </text>
    </comment>
    <comment ref="L22" authorId="0" shapeId="0" xr:uid="{9C01F3A9-EFE0-437C-9A2B-6E03AE573500}">
      <text>
        <r>
          <rPr>
            <b/>
            <sz val="9"/>
            <color indexed="81"/>
            <rFont val="Tahoma"/>
            <charset val="1"/>
          </rPr>
          <t xml:space="preserve">$30 Weekly achivement </t>
        </r>
      </text>
    </comment>
  </commentList>
</comments>
</file>

<file path=xl/sharedStrings.xml><?xml version="1.0" encoding="utf-8"?>
<sst xmlns="http://schemas.openxmlformats.org/spreadsheetml/2006/main" count="116" uniqueCount="75">
  <si>
    <t>Retention</t>
  </si>
  <si>
    <t>Target</t>
  </si>
  <si>
    <t>2nd Target</t>
  </si>
  <si>
    <t>Thresholds for</t>
  </si>
  <si>
    <t xml:space="preserve">Weekly </t>
  </si>
  <si>
    <t>Attendance</t>
  </si>
  <si>
    <t>EPF</t>
  </si>
  <si>
    <t>Grand</t>
  </si>
  <si>
    <t>Agent Name</t>
  </si>
  <si>
    <t>Client Name</t>
  </si>
  <si>
    <t>Date of FTD</t>
  </si>
  <si>
    <t>FTD</t>
  </si>
  <si>
    <t>Comission</t>
  </si>
  <si>
    <t>Achievement</t>
  </si>
  <si>
    <t>Basic</t>
  </si>
  <si>
    <t xml:space="preserve">Milestones </t>
  </si>
  <si>
    <t>Acheivement</t>
  </si>
  <si>
    <t>Bonus</t>
  </si>
  <si>
    <t>Deduction</t>
  </si>
  <si>
    <t>Total</t>
  </si>
  <si>
    <t>Dharshan</t>
  </si>
  <si>
    <t xml:space="preserve">Dharshan </t>
  </si>
  <si>
    <t>Vinoth</t>
  </si>
  <si>
    <t xml:space="preserve">Thileeban </t>
  </si>
  <si>
    <t>Dileepan</t>
  </si>
  <si>
    <t>Riya</t>
  </si>
  <si>
    <t>Sakeer</t>
  </si>
  <si>
    <t>Akash</t>
  </si>
  <si>
    <t>Aahila</t>
  </si>
  <si>
    <t>Nazeem</t>
  </si>
  <si>
    <t xml:space="preserve">Arshana </t>
  </si>
  <si>
    <t>Nabeel</t>
  </si>
  <si>
    <t>Total No.of Sales &amp; Salary Expenses for the Month of April 2026 (Only Agents &amp; Employees)</t>
  </si>
  <si>
    <t>Leave</t>
  </si>
  <si>
    <t>Vijay Kumar</t>
  </si>
  <si>
    <t>Ravi</t>
  </si>
  <si>
    <t>Rajkumar</t>
  </si>
  <si>
    <t>16/4/2026</t>
  </si>
  <si>
    <t>Sathir</t>
  </si>
  <si>
    <t>Jawzi</t>
  </si>
  <si>
    <t>Atheef</t>
  </si>
  <si>
    <t>24/4/2026</t>
  </si>
  <si>
    <t>Jeena</t>
  </si>
  <si>
    <t>30/4/2026</t>
  </si>
  <si>
    <t>Kameshwaran</t>
  </si>
  <si>
    <t>Vijaykumar</t>
  </si>
  <si>
    <t>17/4/2026</t>
  </si>
  <si>
    <t xml:space="preserve">Suresh </t>
  </si>
  <si>
    <t>Dhushan</t>
  </si>
  <si>
    <t>Sathish</t>
  </si>
  <si>
    <t>13/4/2026</t>
  </si>
  <si>
    <t>Mohamed Jiffry</t>
  </si>
  <si>
    <t>Harshan</t>
  </si>
  <si>
    <t>21/4/2026</t>
  </si>
  <si>
    <t>Murali</t>
  </si>
  <si>
    <t>23/4/2026</t>
  </si>
  <si>
    <t>Milhan</t>
  </si>
  <si>
    <t>Velu Thirunavukarasu</t>
  </si>
  <si>
    <t>29/4/2026</t>
  </si>
  <si>
    <t xml:space="preserve">Lechumanan Divya </t>
  </si>
  <si>
    <t xml:space="preserve">Dhanushi </t>
  </si>
  <si>
    <t>Malaya Kumar</t>
  </si>
  <si>
    <t>Verma Dileep</t>
  </si>
  <si>
    <t>Prabha Ranatunga</t>
  </si>
  <si>
    <t>Arun Kumar</t>
  </si>
  <si>
    <t>Sanjay Singh</t>
  </si>
  <si>
    <t>20/4/226</t>
  </si>
  <si>
    <t>Yusuf Khan</t>
  </si>
  <si>
    <t>25/4/2026</t>
  </si>
  <si>
    <t>Sidharth Aneja</t>
  </si>
  <si>
    <t>Ramesh</t>
  </si>
  <si>
    <t>27/4/2026</t>
  </si>
  <si>
    <t>Chrishantha</t>
  </si>
  <si>
    <t>Mohamed</t>
  </si>
  <si>
    <t>Ajit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</si>
</sst>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Rs-846]\ #,##0.00"/>
    <numFmt numFmtId="165" formatCode="&quot;$&quot;#,##0.00"/>
    <numFmt numFmtId="166" formatCode="_-[$Rs.-849]\ * #,##0.00_-;\-[$Rs.-849]\ * #,##0.00_-;_-[$Rs.-849]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44" fontId="4" fillId="2" borderId="1" xfId="1" applyFont="1" applyFill="1" applyBorder="1" applyAlignment="1" applyProtection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44" fontId="4" fillId="2" borderId="1" xfId="1" applyFont="1" applyFill="1" applyBorder="1" applyAlignment="1" applyProtection="1">
      <alignment horizontal="center" vertical="top"/>
    </xf>
    <xf numFmtId="164" fontId="4" fillId="2" borderId="1" xfId="0" applyNumberFormat="1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44" fontId="4" fillId="3" borderId="1" xfId="1" applyFont="1" applyFill="1" applyBorder="1" applyAlignment="1" applyProtection="1">
      <alignment horizontal="center" vertical="top"/>
    </xf>
    <xf numFmtId="164" fontId="4" fillId="3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vertical="center"/>
    </xf>
    <xf numFmtId="166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1" applyNumberFormat="1" applyFont="1" applyFill="1" applyBorder="1" applyAlignment="1">
      <alignment horizontal="center"/>
    </xf>
    <xf numFmtId="166" fontId="0" fillId="3" borderId="1" xfId="0" applyNumberFormat="1" applyFill="1" applyBorder="1"/>
    <xf numFmtId="0" fontId="2" fillId="4" borderId="1" xfId="0" applyFont="1" applyFill="1" applyBorder="1" applyAlignment="1">
      <alignment horizontal="center"/>
    </xf>
    <xf numFmtId="165" fontId="2" fillId="4" borderId="1" xfId="1" applyNumberFormat="1" applyFont="1" applyFill="1" applyBorder="1" applyAlignment="1">
      <alignment horizontal="center"/>
    </xf>
    <xf numFmtId="166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/>
    <xf numFmtId="166" fontId="2" fillId="3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25D0-A953-49AF-911A-BFF977CF0282}">
  <dimension ref="A1:P54"/>
  <sheetViews>
    <sheetView tabSelected="1" workbookViewId="0">
      <selection activeCell="I17" sqref="I17"/>
    </sheetView>
  </sheetViews>
  <sheetFormatPr defaultRowHeight="14.3" x14ac:dyDescent="0.25"/>
  <cols>
    <col min="1" max="1" width="22.75" customWidth="1"/>
    <col min="2" max="2" width="20.625" customWidth="1"/>
    <col min="3" max="3" width="14.625" customWidth="1"/>
    <col min="4" max="4" width="17.5" customWidth="1"/>
    <col min="5" max="5" width="18.75" customWidth="1"/>
    <col min="6" max="6" width="17.25" customWidth="1"/>
    <col min="7" max="7" width="14.5" customWidth="1"/>
    <col min="8" max="8" width="13.5" bestFit="1" customWidth="1"/>
    <col min="9" max="9" width="13.5" customWidth="1"/>
    <col min="10" max="10" width="14.5" customWidth="1"/>
    <col min="11" max="11" width="14.125" customWidth="1"/>
    <col min="12" max="12" width="16.75" customWidth="1"/>
    <col min="13" max="13" width="11.875" bestFit="1" customWidth="1"/>
    <col min="15" max="15" width="17.125" customWidth="1"/>
    <col min="16" max="16" width="15.625" bestFit="1" customWidth="1"/>
  </cols>
  <sheetData>
    <row r="1" spans="1:16" ht="21.75" x14ac:dyDescent="0.25">
      <c r="A1" s="34" t="s">
        <v>32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6.3" x14ac:dyDescent="0.3">
      <c r="A2" s="1"/>
      <c r="B2" s="1"/>
      <c r="C2" s="1"/>
      <c r="D2" s="2"/>
      <c r="E2" s="1"/>
      <c r="F2" s="1" t="s">
        <v>0</v>
      </c>
      <c r="G2" s="1" t="s">
        <v>1</v>
      </c>
      <c r="H2" s="1" t="s">
        <v>2</v>
      </c>
      <c r="I2" s="1" t="s">
        <v>33</v>
      </c>
      <c r="J2" s="1"/>
      <c r="K2" s="1" t="s">
        <v>3</v>
      </c>
      <c r="L2" s="1" t="s">
        <v>4</v>
      </c>
      <c r="M2" s="3" t="s">
        <v>5</v>
      </c>
      <c r="N2" s="1" t="s">
        <v>6</v>
      </c>
      <c r="O2" s="1"/>
      <c r="P2" s="1" t="s">
        <v>7</v>
      </c>
    </row>
    <row r="3" spans="1:16" ht="16.3" x14ac:dyDescent="0.25">
      <c r="A3" s="4" t="s">
        <v>8</v>
      </c>
      <c r="B3" s="4" t="s">
        <v>9</v>
      </c>
      <c r="C3" s="4" t="s">
        <v>10</v>
      </c>
      <c r="D3" s="5" t="s">
        <v>11</v>
      </c>
      <c r="E3" s="4" t="s">
        <v>12</v>
      </c>
      <c r="F3" s="4" t="s">
        <v>12</v>
      </c>
      <c r="G3" s="4" t="s">
        <v>13</v>
      </c>
      <c r="H3" s="4" t="s">
        <v>13</v>
      </c>
      <c r="I3" s="4" t="s">
        <v>18</v>
      </c>
      <c r="J3" s="4" t="s">
        <v>14</v>
      </c>
      <c r="K3" s="4" t="s">
        <v>15</v>
      </c>
      <c r="L3" s="4" t="s">
        <v>16</v>
      </c>
      <c r="M3" s="6" t="s">
        <v>17</v>
      </c>
      <c r="N3" s="4" t="s">
        <v>18</v>
      </c>
      <c r="O3" s="4" t="s">
        <v>19</v>
      </c>
      <c r="P3" s="4" t="s">
        <v>19</v>
      </c>
    </row>
    <row r="4" spans="1:16" ht="16.3" x14ac:dyDescent="0.25">
      <c r="A4" s="7"/>
      <c r="B4" s="7"/>
      <c r="C4" s="7"/>
      <c r="D4" s="8"/>
      <c r="E4" s="7"/>
      <c r="F4" s="7"/>
      <c r="G4" s="7"/>
      <c r="H4" s="7"/>
      <c r="I4" s="7"/>
      <c r="J4" s="7"/>
      <c r="K4" s="7"/>
      <c r="L4" s="7"/>
      <c r="M4" s="9"/>
      <c r="N4" s="7"/>
      <c r="O4" s="7"/>
      <c r="P4" s="7"/>
    </row>
    <row r="5" spans="1:16" x14ac:dyDescent="0.25">
      <c r="A5" s="10" t="s">
        <v>20</v>
      </c>
      <c r="B5" s="10" t="s">
        <v>34</v>
      </c>
      <c r="C5" s="11">
        <v>46177</v>
      </c>
      <c r="D5" s="12">
        <v>198</v>
      </c>
      <c r="E5" s="13">
        <v>3000</v>
      </c>
      <c r="F5" s="14"/>
      <c r="G5" s="14"/>
      <c r="H5" s="14"/>
      <c r="I5" s="14"/>
      <c r="J5" s="14"/>
      <c r="K5" s="14"/>
      <c r="L5" s="14"/>
      <c r="M5" s="15"/>
      <c r="N5" s="14"/>
      <c r="O5" s="14"/>
      <c r="P5" s="14"/>
    </row>
    <row r="6" spans="1:16" x14ac:dyDescent="0.25">
      <c r="A6" s="10" t="s">
        <v>20</v>
      </c>
      <c r="B6" s="10" t="s">
        <v>35</v>
      </c>
      <c r="C6" s="11">
        <v>46238</v>
      </c>
      <c r="D6" s="12">
        <v>100</v>
      </c>
      <c r="E6" s="13">
        <v>3000</v>
      </c>
      <c r="F6" s="14"/>
      <c r="G6" s="14"/>
      <c r="H6" s="14"/>
      <c r="I6" s="14"/>
      <c r="J6" s="14"/>
      <c r="K6" s="14"/>
      <c r="L6" s="14"/>
      <c r="M6" s="15"/>
      <c r="N6" s="14"/>
      <c r="O6" s="14"/>
      <c r="P6" s="14"/>
    </row>
    <row r="7" spans="1:16" x14ac:dyDescent="0.25">
      <c r="A7" s="10" t="s">
        <v>20</v>
      </c>
      <c r="B7" s="10" t="s">
        <v>36</v>
      </c>
      <c r="C7" s="11" t="s">
        <v>37</v>
      </c>
      <c r="D7" s="12">
        <v>100</v>
      </c>
      <c r="E7" s="13">
        <v>3000</v>
      </c>
      <c r="F7" s="14"/>
      <c r="G7" s="14"/>
      <c r="H7" s="14"/>
      <c r="I7" s="14"/>
      <c r="J7" s="14"/>
      <c r="K7" s="14"/>
      <c r="L7" s="14"/>
      <c r="M7" s="15"/>
      <c r="N7" s="14"/>
      <c r="O7" s="14"/>
      <c r="P7" s="14"/>
    </row>
    <row r="8" spans="1:16" x14ac:dyDescent="0.25">
      <c r="A8" s="10" t="s">
        <v>21</v>
      </c>
      <c r="B8" s="10" t="s">
        <v>38</v>
      </c>
      <c r="C8" s="11" t="s">
        <v>37</v>
      </c>
      <c r="D8" s="12">
        <v>100</v>
      </c>
      <c r="E8" s="13">
        <v>3000</v>
      </c>
      <c r="F8" s="14"/>
      <c r="G8" s="14"/>
      <c r="H8" s="14"/>
      <c r="I8" s="14"/>
      <c r="J8" s="14"/>
      <c r="K8" s="14"/>
      <c r="L8" s="14"/>
      <c r="M8" s="15"/>
      <c r="N8" s="14"/>
      <c r="O8" s="14"/>
      <c r="P8" s="14"/>
    </row>
    <row r="9" spans="1:16" x14ac:dyDescent="0.25">
      <c r="A9" s="16" t="s">
        <v>20</v>
      </c>
      <c r="B9" s="10" t="s">
        <v>39</v>
      </c>
      <c r="C9" s="11" t="s">
        <v>37</v>
      </c>
      <c r="D9" s="12">
        <v>99</v>
      </c>
      <c r="E9" s="13">
        <v>3000</v>
      </c>
      <c r="F9" s="14"/>
      <c r="G9" s="14"/>
      <c r="H9" s="14"/>
      <c r="I9" s="14"/>
      <c r="J9" s="14"/>
      <c r="K9" s="14"/>
      <c r="L9" s="14"/>
      <c r="M9" s="15"/>
      <c r="N9" s="14"/>
      <c r="O9" s="14"/>
      <c r="P9" s="14"/>
    </row>
    <row r="10" spans="1:16" x14ac:dyDescent="0.25">
      <c r="A10" s="16" t="s">
        <v>20</v>
      </c>
      <c r="B10" s="10" t="s">
        <v>40</v>
      </c>
      <c r="C10" s="11" t="s">
        <v>41</v>
      </c>
      <c r="D10" s="12">
        <v>98.8</v>
      </c>
      <c r="E10" s="13">
        <v>3000</v>
      </c>
      <c r="F10" s="14"/>
      <c r="G10" s="14"/>
      <c r="H10" s="14"/>
      <c r="I10" s="14"/>
      <c r="J10" s="14"/>
      <c r="K10" s="14"/>
      <c r="L10" s="14"/>
      <c r="M10" s="15"/>
      <c r="N10" s="14"/>
      <c r="O10" s="14"/>
      <c r="P10" s="14"/>
    </row>
    <row r="11" spans="1:16" x14ac:dyDescent="0.25">
      <c r="A11" s="16" t="s">
        <v>20</v>
      </c>
      <c r="B11" s="10" t="s">
        <v>42</v>
      </c>
      <c r="C11" s="11" t="s">
        <v>43</v>
      </c>
      <c r="D11" s="12">
        <v>100</v>
      </c>
      <c r="E11" s="13">
        <v>3000</v>
      </c>
      <c r="F11" s="14"/>
      <c r="G11" s="14"/>
      <c r="H11" s="14"/>
      <c r="I11" s="14"/>
      <c r="J11" s="14"/>
      <c r="K11" s="14"/>
      <c r="L11" s="14"/>
      <c r="M11" s="15"/>
      <c r="N11" s="14"/>
      <c r="O11" s="14"/>
      <c r="P11" s="14"/>
    </row>
    <row r="12" spans="1:16" x14ac:dyDescent="0.25">
      <c r="A12" s="19" t="s">
        <v>20</v>
      </c>
      <c r="B12" s="19"/>
      <c r="C12" s="19"/>
      <c r="D12" s="20">
        <f>SUM(D5:D11)</f>
        <v>795.8</v>
      </c>
      <c r="E12" s="21">
        <f>SUM(E5:E11)</f>
        <v>21000</v>
      </c>
      <c r="F12" s="21"/>
      <c r="G12" s="21"/>
      <c r="H12" s="21"/>
      <c r="I12" s="21"/>
      <c r="J12" s="21">
        <v>80000</v>
      </c>
      <c r="K12" s="21">
        <v>9150</v>
      </c>
      <c r="L12" s="21"/>
      <c r="M12" s="22"/>
      <c r="N12" s="21"/>
      <c r="O12" s="21">
        <f>SUM(E12:N12)</f>
        <v>110150</v>
      </c>
      <c r="P12" s="23"/>
    </row>
    <row r="13" spans="1:16" x14ac:dyDescent="0.25">
      <c r="A13" s="16"/>
      <c r="B13" s="16"/>
      <c r="C13" s="16"/>
      <c r="D13" s="24"/>
      <c r="E13" s="16"/>
      <c r="F13" s="16"/>
      <c r="G13" s="16"/>
      <c r="H13" s="16"/>
      <c r="I13" s="16"/>
      <c r="J13" s="16"/>
      <c r="K13" s="16"/>
      <c r="L13" s="16"/>
      <c r="M13" s="15"/>
      <c r="N13" s="16"/>
      <c r="O13" s="16"/>
      <c r="P13" s="16"/>
    </row>
    <row r="14" spans="1:16" x14ac:dyDescent="0.25">
      <c r="A14" s="16" t="s">
        <v>22</v>
      </c>
      <c r="B14" s="10"/>
      <c r="C14" s="25"/>
      <c r="D14" s="17"/>
      <c r="E14" s="18"/>
      <c r="F14" s="16"/>
      <c r="G14" s="16"/>
      <c r="H14" s="16"/>
      <c r="I14" s="16"/>
      <c r="J14" s="16"/>
      <c r="K14" s="16"/>
      <c r="L14" s="16"/>
      <c r="M14" s="15"/>
      <c r="N14" s="16"/>
      <c r="O14" s="16"/>
      <c r="P14" s="16"/>
    </row>
    <row r="15" spans="1:16" x14ac:dyDescent="0.25">
      <c r="A15" s="19" t="s">
        <v>22</v>
      </c>
      <c r="B15" s="19"/>
      <c r="C15" s="19"/>
      <c r="D15" s="20">
        <f>SUM(D14:D14)</f>
        <v>0</v>
      </c>
      <c r="E15" s="21">
        <f>SUM(E14:E14)</f>
        <v>0</v>
      </c>
      <c r="F15" s="21">
        <v>4844.57</v>
      </c>
      <c r="G15" s="21"/>
      <c r="H15" s="21"/>
      <c r="I15" s="21">
        <v>-3000</v>
      </c>
      <c r="J15" s="21">
        <v>90000</v>
      </c>
      <c r="K15" s="21"/>
      <c r="L15" s="21"/>
      <c r="M15" s="22"/>
      <c r="N15" s="21"/>
      <c r="O15" s="21">
        <f>SUM(E15:N15)</f>
        <v>91844.57</v>
      </c>
      <c r="P15" s="23"/>
    </row>
    <row r="16" spans="1:16" x14ac:dyDescent="0.25">
      <c r="A16" s="16"/>
      <c r="B16" s="16"/>
      <c r="C16" s="16"/>
      <c r="D16" s="24"/>
      <c r="E16" s="14"/>
      <c r="F16" s="14"/>
      <c r="G16" s="14"/>
      <c r="H16" s="14"/>
      <c r="I16" s="14"/>
      <c r="J16" s="14"/>
      <c r="K16" s="14"/>
      <c r="L16" s="14"/>
      <c r="M16" s="15"/>
      <c r="N16" s="14"/>
      <c r="O16" s="14"/>
      <c r="P16" s="14"/>
    </row>
    <row r="17" spans="1:16" x14ac:dyDescent="0.25">
      <c r="A17" s="16" t="s">
        <v>23</v>
      </c>
      <c r="B17" s="16" t="s">
        <v>44</v>
      </c>
      <c r="C17" s="25">
        <v>46269</v>
      </c>
      <c r="D17" s="17">
        <v>100</v>
      </c>
      <c r="E17" s="18">
        <v>3000</v>
      </c>
      <c r="F17" s="14"/>
      <c r="G17" s="14"/>
      <c r="H17" s="14"/>
      <c r="I17" s="14"/>
      <c r="J17" s="14"/>
      <c r="K17" s="14"/>
      <c r="L17" s="14"/>
      <c r="M17" s="15"/>
      <c r="N17" s="14"/>
      <c r="O17" s="14"/>
      <c r="P17" s="14"/>
    </row>
    <row r="18" spans="1:16" x14ac:dyDescent="0.25">
      <c r="A18" s="16" t="s">
        <v>23</v>
      </c>
      <c r="B18" s="16" t="s">
        <v>45</v>
      </c>
      <c r="C18" s="25" t="s">
        <v>46</v>
      </c>
      <c r="D18" s="17">
        <v>250</v>
      </c>
      <c r="E18" s="18">
        <v>6000</v>
      </c>
      <c r="F18" s="14"/>
      <c r="G18" s="14"/>
      <c r="H18" s="14"/>
      <c r="I18" s="14"/>
      <c r="J18" s="14"/>
      <c r="K18" s="14"/>
      <c r="L18" s="14"/>
      <c r="M18" s="15"/>
      <c r="N18" s="14"/>
      <c r="O18" s="14"/>
      <c r="P18" s="14"/>
    </row>
    <row r="19" spans="1:16" x14ac:dyDescent="0.25">
      <c r="A19" s="16" t="s">
        <v>23</v>
      </c>
      <c r="B19" s="16" t="s">
        <v>47</v>
      </c>
      <c r="C19" s="25" t="s">
        <v>41</v>
      </c>
      <c r="D19" s="17">
        <v>100</v>
      </c>
      <c r="E19" s="18">
        <v>3000</v>
      </c>
      <c r="F19" s="14"/>
      <c r="G19" s="14"/>
      <c r="H19" s="14"/>
      <c r="I19" s="14"/>
      <c r="J19" s="14"/>
      <c r="K19" s="14"/>
      <c r="L19" s="14"/>
      <c r="M19" s="15"/>
      <c r="N19" s="14"/>
      <c r="O19" s="14"/>
      <c r="P19" s="14"/>
    </row>
    <row r="20" spans="1:16" x14ac:dyDescent="0.25">
      <c r="A20" s="19" t="s">
        <v>24</v>
      </c>
      <c r="B20" s="19"/>
      <c r="C20" s="19"/>
      <c r="D20" s="20">
        <f>SUM(D17:D19)</f>
        <v>450</v>
      </c>
      <c r="E20" s="21">
        <f>SUM(E17:E19)</f>
        <v>12000</v>
      </c>
      <c r="F20" s="21"/>
      <c r="G20" s="21"/>
      <c r="H20" s="21"/>
      <c r="I20" s="21"/>
      <c r="J20" s="21">
        <v>62000</v>
      </c>
      <c r="K20" s="21"/>
      <c r="L20" s="21"/>
      <c r="M20" s="22">
        <v>3916.66</v>
      </c>
      <c r="N20" s="21"/>
      <c r="O20" s="21">
        <f>SUM(E20:N20)</f>
        <v>77916.66</v>
      </c>
      <c r="P20" s="23"/>
    </row>
    <row r="21" spans="1:16" x14ac:dyDescent="0.25">
      <c r="A21" s="16"/>
      <c r="B21" s="16"/>
      <c r="C21" s="16"/>
      <c r="D21" s="24"/>
      <c r="E21" s="14"/>
      <c r="F21" s="14"/>
      <c r="G21" s="14"/>
      <c r="H21" s="14"/>
      <c r="I21" s="14"/>
      <c r="J21" s="14"/>
      <c r="K21" s="14"/>
      <c r="L21" s="14"/>
      <c r="M21" s="15"/>
      <c r="N21" s="14"/>
      <c r="O21" s="14"/>
      <c r="P21" s="14"/>
    </row>
    <row r="22" spans="1:16" x14ac:dyDescent="0.25">
      <c r="A22" s="19" t="s">
        <v>25</v>
      </c>
      <c r="B22" s="19"/>
      <c r="C22" s="19"/>
      <c r="D22" s="26"/>
      <c r="E22" s="21"/>
      <c r="F22" s="21">
        <v>247667.13699999999</v>
      </c>
      <c r="G22" s="21"/>
      <c r="H22" s="21"/>
      <c r="I22" s="21"/>
      <c r="J22" s="21">
        <v>90000</v>
      </c>
      <c r="K22" s="21">
        <v>9150</v>
      </c>
      <c r="L22" s="21">
        <v>9150</v>
      </c>
      <c r="M22" s="22"/>
      <c r="N22" s="21"/>
      <c r="O22" s="21">
        <f>SUM(E22:N22)</f>
        <v>355967.13699999999</v>
      </c>
      <c r="P22" s="23"/>
    </row>
    <row r="23" spans="1:16" x14ac:dyDescent="0.25">
      <c r="A23" s="16"/>
      <c r="B23" s="16"/>
      <c r="C23" s="25"/>
      <c r="D23" s="17"/>
      <c r="E23" s="18"/>
      <c r="F23" s="14"/>
      <c r="G23" s="14"/>
      <c r="H23" s="14"/>
      <c r="I23" s="14"/>
      <c r="J23" s="14"/>
      <c r="K23" s="14"/>
      <c r="L23" s="14"/>
      <c r="M23" s="15"/>
      <c r="N23" s="14"/>
      <c r="O23" s="14"/>
      <c r="P23" s="14"/>
    </row>
    <row r="24" spans="1:16" x14ac:dyDescent="0.25">
      <c r="A24" s="16" t="s">
        <v>26</v>
      </c>
      <c r="B24" s="16" t="s">
        <v>48</v>
      </c>
      <c r="C24" s="25">
        <v>46026</v>
      </c>
      <c r="D24" s="17">
        <v>100</v>
      </c>
      <c r="E24" s="18">
        <v>3000</v>
      </c>
      <c r="F24" s="14"/>
      <c r="G24" s="14"/>
      <c r="H24" s="14"/>
      <c r="I24" s="14"/>
      <c r="J24" s="14"/>
      <c r="K24" s="14"/>
      <c r="L24" s="14"/>
      <c r="M24" s="15"/>
      <c r="N24" s="14"/>
      <c r="O24" s="14"/>
      <c r="P24" s="14"/>
    </row>
    <row r="25" spans="1:16" x14ac:dyDescent="0.25">
      <c r="A25" s="16" t="s">
        <v>26</v>
      </c>
      <c r="B25" s="16" t="s">
        <v>49</v>
      </c>
      <c r="C25" s="25" t="s">
        <v>50</v>
      </c>
      <c r="D25" s="17">
        <v>100</v>
      </c>
      <c r="E25" s="18">
        <v>3000</v>
      </c>
      <c r="F25" s="14"/>
      <c r="G25" s="14"/>
      <c r="H25" s="14"/>
      <c r="I25" s="14"/>
      <c r="J25" s="14"/>
      <c r="K25" s="14"/>
      <c r="L25" s="14"/>
      <c r="M25" s="15"/>
      <c r="N25" s="14"/>
      <c r="O25" s="14"/>
      <c r="P25" s="14"/>
    </row>
    <row r="26" spans="1:16" x14ac:dyDescent="0.25">
      <c r="A26" s="16" t="s">
        <v>26</v>
      </c>
      <c r="B26" s="16" t="s">
        <v>51</v>
      </c>
      <c r="C26" s="25" t="s">
        <v>50</v>
      </c>
      <c r="D26" s="17">
        <v>250</v>
      </c>
      <c r="E26" s="18">
        <v>6000</v>
      </c>
      <c r="F26" s="14"/>
      <c r="G26" s="14"/>
      <c r="H26" s="14"/>
      <c r="I26" s="14"/>
      <c r="J26" s="14"/>
      <c r="K26" s="14"/>
      <c r="L26" s="14"/>
      <c r="M26" s="15"/>
      <c r="N26" s="14"/>
      <c r="O26" s="14"/>
      <c r="P26" s="14"/>
    </row>
    <row r="27" spans="1:16" x14ac:dyDescent="0.25">
      <c r="A27" s="16" t="s">
        <v>26</v>
      </c>
      <c r="B27" s="16" t="s">
        <v>52</v>
      </c>
      <c r="C27" s="25" t="s">
        <v>53</v>
      </c>
      <c r="D27" s="17">
        <v>100</v>
      </c>
      <c r="E27" s="18">
        <v>3000</v>
      </c>
      <c r="F27" s="14"/>
      <c r="G27" s="14"/>
      <c r="H27" s="14"/>
      <c r="I27" s="14"/>
      <c r="J27" s="14"/>
      <c r="K27" s="14"/>
      <c r="L27" s="14"/>
      <c r="M27" s="15"/>
      <c r="N27" s="14"/>
      <c r="O27" s="14"/>
      <c r="P27" s="14"/>
    </row>
    <row r="28" spans="1:16" x14ac:dyDescent="0.25">
      <c r="A28" s="16" t="s">
        <v>26</v>
      </c>
      <c r="B28" s="16" t="s">
        <v>54</v>
      </c>
      <c r="C28" s="25" t="s">
        <v>55</v>
      </c>
      <c r="D28" s="17">
        <v>100</v>
      </c>
      <c r="E28" s="18">
        <v>3000</v>
      </c>
      <c r="F28" s="14"/>
      <c r="G28" s="14"/>
      <c r="H28" s="14"/>
      <c r="I28" s="14"/>
      <c r="J28" s="14"/>
      <c r="K28" s="14"/>
      <c r="L28" s="14"/>
      <c r="M28" s="15"/>
      <c r="N28" s="14"/>
      <c r="O28" s="14"/>
      <c r="P28" s="14"/>
    </row>
    <row r="29" spans="1:16" x14ac:dyDescent="0.25">
      <c r="A29" s="16" t="s">
        <v>26</v>
      </c>
      <c r="B29" s="16" t="s">
        <v>56</v>
      </c>
      <c r="C29" s="25">
        <v>46057</v>
      </c>
      <c r="D29" s="17">
        <v>97</v>
      </c>
      <c r="E29" s="18">
        <v>3000</v>
      </c>
      <c r="F29" s="14"/>
      <c r="G29" s="14"/>
      <c r="H29" s="14"/>
      <c r="I29" s="14"/>
      <c r="J29" s="14"/>
      <c r="K29" s="14"/>
      <c r="L29" s="14"/>
      <c r="M29" s="15"/>
      <c r="N29" s="14"/>
      <c r="O29" s="14"/>
      <c r="P29" s="14"/>
    </row>
    <row r="30" spans="1:16" x14ac:dyDescent="0.25">
      <c r="A30" s="16" t="s">
        <v>26</v>
      </c>
      <c r="B30" s="16" t="s">
        <v>57</v>
      </c>
      <c r="C30" s="25" t="s">
        <v>58</v>
      </c>
      <c r="D30" s="17">
        <v>101</v>
      </c>
      <c r="E30" s="18">
        <v>3000</v>
      </c>
      <c r="F30" s="14"/>
      <c r="G30" s="14"/>
      <c r="H30" s="14"/>
      <c r="I30" s="14"/>
      <c r="J30" s="14"/>
      <c r="K30" s="14"/>
      <c r="L30" s="14"/>
      <c r="M30" s="15"/>
      <c r="N30" s="14"/>
      <c r="O30" s="14"/>
      <c r="P30" s="14"/>
    </row>
    <row r="31" spans="1:16" x14ac:dyDescent="0.25">
      <c r="A31" s="16" t="s">
        <v>26</v>
      </c>
      <c r="B31" s="16" t="s">
        <v>59</v>
      </c>
      <c r="C31" s="25" t="s">
        <v>58</v>
      </c>
      <c r="D31" s="17">
        <v>104.5</v>
      </c>
      <c r="E31" s="18">
        <v>3000</v>
      </c>
      <c r="F31" s="14"/>
      <c r="G31" s="14"/>
      <c r="H31" s="14"/>
      <c r="I31" s="14"/>
      <c r="J31" s="14"/>
      <c r="K31" s="14"/>
      <c r="L31" s="14"/>
      <c r="M31" s="15"/>
      <c r="N31" s="14"/>
      <c r="O31" s="14"/>
      <c r="P31" s="14"/>
    </row>
    <row r="32" spans="1:16" x14ac:dyDescent="0.25">
      <c r="A32" s="16" t="s">
        <v>26</v>
      </c>
      <c r="B32" s="16" t="s">
        <v>60</v>
      </c>
      <c r="C32" s="25" t="s">
        <v>43</v>
      </c>
      <c r="D32" s="17">
        <v>100</v>
      </c>
      <c r="E32" s="18">
        <v>3000</v>
      </c>
      <c r="F32" s="14"/>
      <c r="G32" s="14"/>
      <c r="H32" s="14"/>
      <c r="I32" s="14"/>
      <c r="J32" s="14"/>
      <c r="K32" s="14"/>
      <c r="L32" s="14"/>
      <c r="M32" s="15"/>
      <c r="N32" s="14"/>
      <c r="O32" s="14"/>
      <c r="P32" s="14"/>
    </row>
    <row r="33" spans="1:16" x14ac:dyDescent="0.25">
      <c r="A33" s="19" t="s">
        <v>26</v>
      </c>
      <c r="B33" s="19"/>
      <c r="C33" s="19"/>
      <c r="D33" s="20">
        <f>SUM(D24:D32)</f>
        <v>1052.5</v>
      </c>
      <c r="E33" s="21">
        <f>SUM(E24:E32)</f>
        <v>30000</v>
      </c>
      <c r="F33" s="21"/>
      <c r="G33" s="21">
        <v>7000</v>
      </c>
      <c r="H33" s="21"/>
      <c r="I33" s="21"/>
      <c r="J33" s="21">
        <v>55000</v>
      </c>
      <c r="K33" s="21"/>
      <c r="L33" s="21">
        <v>5000</v>
      </c>
      <c r="M33" s="22"/>
      <c r="N33" s="21"/>
      <c r="O33" s="21">
        <f>SUM(E33:N33)</f>
        <v>97000</v>
      </c>
      <c r="P33" s="23"/>
    </row>
    <row r="34" spans="1:16" x14ac:dyDescent="0.25">
      <c r="A34" s="16"/>
      <c r="B34" s="16"/>
      <c r="C34" s="16"/>
      <c r="D34" s="17"/>
      <c r="E34" s="18"/>
      <c r="F34" s="14"/>
      <c r="G34" s="14"/>
      <c r="H34" s="14"/>
      <c r="I34" s="14"/>
      <c r="J34" s="14"/>
      <c r="K34" s="14"/>
      <c r="L34" s="14"/>
      <c r="M34" s="15"/>
      <c r="N34" s="14"/>
      <c r="O34" s="14"/>
      <c r="P34" s="14"/>
    </row>
    <row r="35" spans="1:16" x14ac:dyDescent="0.25">
      <c r="A35" s="16" t="s">
        <v>27</v>
      </c>
      <c r="B35" s="16" t="s">
        <v>61</v>
      </c>
      <c r="C35" s="25">
        <v>46026</v>
      </c>
      <c r="D35" s="17">
        <v>100</v>
      </c>
      <c r="E35" s="18">
        <v>3000</v>
      </c>
      <c r="F35" s="14"/>
      <c r="G35" s="14"/>
      <c r="H35" s="14"/>
      <c r="I35" s="14"/>
      <c r="J35" s="14"/>
      <c r="K35" s="14"/>
      <c r="L35" s="14"/>
      <c r="M35" s="15"/>
      <c r="N35" s="14"/>
      <c r="O35" s="14"/>
      <c r="P35" s="14"/>
    </row>
    <row r="36" spans="1:16" x14ac:dyDescent="0.25">
      <c r="A36" s="16" t="s">
        <v>27</v>
      </c>
      <c r="B36" s="16" t="s">
        <v>62</v>
      </c>
      <c r="C36" s="25">
        <v>46177</v>
      </c>
      <c r="D36" s="17">
        <v>100</v>
      </c>
      <c r="E36" s="18">
        <v>3000</v>
      </c>
      <c r="F36" s="14"/>
      <c r="G36" s="14"/>
      <c r="H36" s="14"/>
      <c r="I36" s="14"/>
      <c r="J36" s="14"/>
      <c r="K36" s="14"/>
      <c r="L36" s="14"/>
      <c r="M36" s="15"/>
      <c r="N36" s="14"/>
      <c r="O36" s="14"/>
      <c r="P36" s="14"/>
    </row>
    <row r="37" spans="1:16" x14ac:dyDescent="0.25">
      <c r="A37" s="16" t="s">
        <v>27</v>
      </c>
      <c r="B37" s="16" t="s">
        <v>63</v>
      </c>
      <c r="C37" s="25">
        <v>46269</v>
      </c>
      <c r="D37" s="17">
        <v>100</v>
      </c>
      <c r="E37" s="18">
        <v>3000</v>
      </c>
      <c r="F37" s="14"/>
      <c r="G37" s="14"/>
      <c r="H37" s="14"/>
      <c r="I37" s="14"/>
      <c r="J37" s="14"/>
      <c r="K37" s="14"/>
      <c r="L37" s="14"/>
      <c r="M37" s="15"/>
      <c r="N37" s="14"/>
      <c r="O37" s="14"/>
      <c r="P37" s="14"/>
    </row>
    <row r="38" spans="1:16" x14ac:dyDescent="0.25">
      <c r="A38" s="16" t="s">
        <v>27</v>
      </c>
      <c r="B38" s="16" t="s">
        <v>64</v>
      </c>
      <c r="C38" s="25">
        <v>46269</v>
      </c>
      <c r="D38" s="17">
        <v>100</v>
      </c>
      <c r="E38" s="18">
        <v>3000</v>
      </c>
      <c r="F38" s="14"/>
      <c r="G38" s="14"/>
      <c r="H38" s="14"/>
      <c r="I38" s="14"/>
      <c r="J38" s="14"/>
      <c r="K38" s="14"/>
      <c r="L38" s="14"/>
      <c r="M38" s="15"/>
      <c r="N38" s="14"/>
      <c r="O38" s="14"/>
      <c r="P38" s="14"/>
    </row>
    <row r="39" spans="1:16" x14ac:dyDescent="0.25">
      <c r="A39" s="16" t="s">
        <v>27</v>
      </c>
      <c r="B39" s="16" t="s">
        <v>65</v>
      </c>
      <c r="C39" s="25" t="s">
        <v>66</v>
      </c>
      <c r="D39" s="17">
        <v>100</v>
      </c>
      <c r="E39" s="18">
        <v>3000</v>
      </c>
      <c r="F39" s="14"/>
      <c r="G39" s="14"/>
      <c r="H39" s="14"/>
      <c r="I39" s="14"/>
      <c r="J39" s="14"/>
      <c r="K39" s="14"/>
      <c r="L39" s="14"/>
      <c r="M39" s="15"/>
      <c r="N39" s="14"/>
      <c r="O39" s="14"/>
      <c r="P39" s="14"/>
    </row>
    <row r="40" spans="1:16" x14ac:dyDescent="0.25">
      <c r="A40" s="16" t="s">
        <v>27</v>
      </c>
      <c r="B40" s="16" t="s">
        <v>67</v>
      </c>
      <c r="C40" s="25" t="s">
        <v>68</v>
      </c>
      <c r="D40" s="17">
        <v>100</v>
      </c>
      <c r="E40" s="18">
        <v>3000</v>
      </c>
      <c r="F40" s="14"/>
      <c r="G40" s="14"/>
      <c r="H40" s="14"/>
      <c r="I40" s="14"/>
      <c r="J40" s="14"/>
      <c r="K40" s="14"/>
      <c r="L40" s="14"/>
      <c r="M40" s="15"/>
      <c r="N40" s="14"/>
      <c r="O40" s="14"/>
      <c r="P40" s="14"/>
    </row>
    <row r="41" spans="1:16" x14ac:dyDescent="0.25">
      <c r="A41" s="16" t="s">
        <v>27</v>
      </c>
      <c r="B41" s="16" t="s">
        <v>69</v>
      </c>
      <c r="C41" s="25" t="s">
        <v>41</v>
      </c>
      <c r="D41" s="17">
        <v>200</v>
      </c>
      <c r="E41" s="18"/>
      <c r="F41" s="14"/>
      <c r="G41" s="14"/>
      <c r="H41" s="14"/>
      <c r="I41" s="14"/>
      <c r="J41" s="14"/>
      <c r="K41" s="14"/>
      <c r="L41" s="14"/>
      <c r="M41" s="15"/>
      <c r="N41" s="14"/>
      <c r="O41" s="14"/>
      <c r="P41" s="14"/>
    </row>
    <row r="42" spans="1:16" x14ac:dyDescent="0.25">
      <c r="A42" s="16" t="s">
        <v>27</v>
      </c>
      <c r="B42" s="16" t="s">
        <v>70</v>
      </c>
      <c r="C42" s="25" t="s">
        <v>71</v>
      </c>
      <c r="D42" s="17">
        <v>250</v>
      </c>
      <c r="E42" s="18">
        <v>6000</v>
      </c>
      <c r="F42" s="14"/>
      <c r="G42" s="14"/>
      <c r="H42" s="14"/>
      <c r="I42" s="14"/>
      <c r="J42" s="14"/>
      <c r="K42" s="14"/>
      <c r="L42" s="14"/>
      <c r="M42" s="15"/>
      <c r="N42" s="14"/>
      <c r="O42" s="14"/>
      <c r="P42" s="14"/>
    </row>
    <row r="43" spans="1:16" x14ac:dyDescent="0.25">
      <c r="A43" s="19" t="s">
        <v>27</v>
      </c>
      <c r="B43" s="19"/>
      <c r="C43" s="19"/>
      <c r="D43" s="20">
        <f>SUM(D35:D42)</f>
        <v>1050</v>
      </c>
      <c r="E43" s="21">
        <f>SUM(E35:E42)</f>
        <v>24000</v>
      </c>
      <c r="F43" s="21"/>
      <c r="G43" s="21">
        <v>7000</v>
      </c>
      <c r="H43" s="21"/>
      <c r="I43" s="21"/>
      <c r="J43" s="21">
        <v>70000</v>
      </c>
      <c r="K43" s="21"/>
      <c r="L43" s="21"/>
      <c r="M43" s="22">
        <v>3750</v>
      </c>
      <c r="N43" s="21"/>
      <c r="O43" s="21">
        <f>SUM(E43:N43)</f>
        <v>104750</v>
      </c>
      <c r="P43" s="23"/>
    </row>
    <row r="44" spans="1:16" x14ac:dyDescent="0.25">
      <c r="A44" s="27"/>
      <c r="B44" s="27"/>
      <c r="C44" s="27"/>
      <c r="D44" s="28"/>
      <c r="E44" s="23"/>
      <c r="F44" s="23"/>
      <c r="G44" s="23"/>
      <c r="H44" s="23"/>
      <c r="I44" s="23"/>
      <c r="J44" s="23"/>
      <c r="K44" s="23"/>
      <c r="L44" s="23"/>
      <c r="M44" s="29"/>
      <c r="N44" s="23"/>
      <c r="O44" s="23"/>
      <c r="P44" s="23"/>
    </row>
    <row r="45" spans="1:16" x14ac:dyDescent="0.25">
      <c r="A45" s="16" t="s">
        <v>28</v>
      </c>
      <c r="B45" s="16" t="s">
        <v>72</v>
      </c>
      <c r="C45" s="25">
        <v>46026</v>
      </c>
      <c r="D45" s="17">
        <v>100</v>
      </c>
      <c r="E45" s="18">
        <v>3000</v>
      </c>
      <c r="F45" s="23"/>
      <c r="G45" s="23"/>
      <c r="H45" s="23"/>
      <c r="I45" s="23"/>
      <c r="J45" s="23"/>
      <c r="K45" s="23"/>
      <c r="L45" s="23"/>
      <c r="M45" s="29"/>
      <c r="N45" s="23"/>
      <c r="O45" s="23"/>
      <c r="P45" s="23"/>
    </row>
    <row r="46" spans="1:16" x14ac:dyDescent="0.25">
      <c r="A46" s="16" t="s">
        <v>28</v>
      </c>
      <c r="B46" s="16" t="s">
        <v>73</v>
      </c>
      <c r="C46" s="25">
        <v>46057</v>
      </c>
      <c r="D46" s="17">
        <v>100</v>
      </c>
      <c r="E46" s="18">
        <v>3000</v>
      </c>
      <c r="F46" s="23"/>
      <c r="G46" s="23"/>
      <c r="H46" s="23"/>
      <c r="I46" s="23"/>
      <c r="J46" s="23"/>
      <c r="K46" s="23"/>
      <c r="L46" s="23"/>
      <c r="M46" s="29"/>
      <c r="N46" s="23"/>
      <c r="O46" s="23"/>
      <c r="P46" s="23"/>
    </row>
    <row r="47" spans="1:16" x14ac:dyDescent="0.25">
      <c r="A47" s="16" t="s">
        <v>28</v>
      </c>
      <c r="B47" s="16" t="s">
        <v>74</v>
      </c>
      <c r="C47" s="25">
        <v>46330</v>
      </c>
      <c r="D47" s="17">
        <v>100</v>
      </c>
      <c r="E47" s="18">
        <v>3000</v>
      </c>
      <c r="F47" s="23"/>
      <c r="G47" s="23"/>
      <c r="H47" s="23"/>
      <c r="I47" s="23"/>
      <c r="J47" s="23"/>
      <c r="K47" s="23"/>
      <c r="L47" s="23"/>
      <c r="M47" s="29"/>
      <c r="N47" s="23"/>
      <c r="O47" s="23"/>
      <c r="P47" s="23"/>
    </row>
    <row r="48" spans="1:16" x14ac:dyDescent="0.25">
      <c r="A48" s="19" t="s">
        <v>28</v>
      </c>
      <c r="B48" s="19"/>
      <c r="C48" s="19"/>
      <c r="D48" s="20">
        <f>SUM(D45:D47)</f>
        <v>300</v>
      </c>
      <c r="E48" s="21">
        <f>SUM(E45:E47)</f>
        <v>9000</v>
      </c>
      <c r="F48" s="21"/>
      <c r="G48" s="21"/>
      <c r="H48" s="21"/>
      <c r="I48" s="21">
        <v>-8666.64</v>
      </c>
      <c r="J48" s="21">
        <v>55000</v>
      </c>
      <c r="K48" s="21"/>
      <c r="L48" s="21"/>
      <c r="M48" s="22"/>
      <c r="N48" s="21"/>
      <c r="O48" s="21">
        <f>SUM(E48:N48)</f>
        <v>55333.36</v>
      </c>
      <c r="P48" s="23"/>
    </row>
    <row r="49" spans="1:16" x14ac:dyDescent="0.25">
      <c r="A49" s="27"/>
      <c r="B49" s="27"/>
      <c r="C49" s="27"/>
      <c r="D49" s="28"/>
      <c r="E49" s="23"/>
      <c r="F49" s="23"/>
      <c r="G49" s="23"/>
      <c r="H49" s="23"/>
      <c r="I49" s="23"/>
      <c r="J49" s="23"/>
      <c r="K49" s="23"/>
      <c r="L49" s="23"/>
      <c r="M49" s="29"/>
      <c r="N49" s="23"/>
      <c r="O49" s="23"/>
      <c r="P49" s="23"/>
    </row>
    <row r="50" spans="1:16" x14ac:dyDescent="0.25">
      <c r="A50" s="27" t="s">
        <v>40</v>
      </c>
      <c r="B50" s="27"/>
      <c r="C50" s="27"/>
      <c r="D50" s="28"/>
      <c r="E50" s="23"/>
      <c r="F50" s="23"/>
      <c r="G50" s="23"/>
      <c r="H50" s="23"/>
      <c r="I50" s="23">
        <v>-19166.66</v>
      </c>
      <c r="J50" s="23">
        <v>50000</v>
      </c>
      <c r="K50" s="23"/>
      <c r="L50" s="23"/>
      <c r="M50" s="29"/>
      <c r="N50" s="23"/>
      <c r="O50" s="21">
        <f>SUM(E50:N50)</f>
        <v>30833.34</v>
      </c>
      <c r="P50" s="23"/>
    </row>
    <row r="51" spans="1:16" x14ac:dyDescent="0.25">
      <c r="A51" s="19" t="s">
        <v>29</v>
      </c>
      <c r="B51" s="19"/>
      <c r="C51" s="19"/>
      <c r="D51" s="20"/>
      <c r="E51" s="30"/>
      <c r="F51" s="21"/>
      <c r="G51" s="21"/>
      <c r="H51" s="21"/>
      <c r="I51" s="21">
        <v>-80000</v>
      </c>
      <c r="J51" s="21">
        <v>80000</v>
      </c>
      <c r="K51" s="21"/>
      <c r="L51" s="21"/>
      <c r="M51" s="22"/>
      <c r="N51" s="21"/>
      <c r="O51" s="21">
        <f>SUM(E51:N51)</f>
        <v>0</v>
      </c>
      <c r="P51" s="23"/>
    </row>
    <row r="52" spans="1:16" x14ac:dyDescent="0.25">
      <c r="A52" s="19" t="s">
        <v>30</v>
      </c>
      <c r="B52" s="19"/>
      <c r="C52" s="19"/>
      <c r="D52" s="20"/>
      <c r="E52" s="30"/>
      <c r="F52" s="21"/>
      <c r="G52" s="21"/>
      <c r="H52" s="21"/>
      <c r="I52" s="21"/>
      <c r="J52" s="21">
        <v>55000</v>
      </c>
      <c r="K52" s="21"/>
      <c r="L52" s="21"/>
      <c r="M52" s="22"/>
      <c r="N52" s="21"/>
      <c r="O52" s="21">
        <f>SUM(E52:N52)</f>
        <v>55000</v>
      </c>
      <c r="P52" s="23"/>
    </row>
    <row r="53" spans="1:16" x14ac:dyDescent="0.25">
      <c r="A53" s="19" t="s">
        <v>31</v>
      </c>
      <c r="B53" s="19"/>
      <c r="C53" s="19"/>
      <c r="D53" s="20"/>
      <c r="E53" s="30"/>
      <c r="F53" s="21"/>
      <c r="G53" s="21"/>
      <c r="H53" s="21"/>
      <c r="I53" s="21">
        <v>-22083.34</v>
      </c>
      <c r="J53" s="21">
        <v>25000</v>
      </c>
      <c r="K53" s="21"/>
      <c r="L53" s="21"/>
      <c r="M53" s="22"/>
      <c r="N53" s="21"/>
      <c r="O53" s="21">
        <f>SUM(I53:N53)</f>
        <v>2916.66</v>
      </c>
      <c r="P53" s="23"/>
    </row>
    <row r="54" spans="1:16" x14ac:dyDescent="0.25">
      <c r="A54" s="31"/>
      <c r="B54" s="31"/>
      <c r="C54" s="31"/>
      <c r="D54" s="20">
        <f>SUM(D43,D33,D22,D20,D15,D12,D48,D51,D52)</f>
        <v>3648.3</v>
      </c>
      <c r="E54" s="32">
        <f>SUM(E43,E33,E22,E20,E15,E12,E51,E48,E52)</f>
        <v>96000</v>
      </c>
      <c r="F54" s="32">
        <f>SUM(F48,F43,F33,F22,F20,F15,F12)</f>
        <v>252511.70699999999</v>
      </c>
      <c r="G54" s="31"/>
      <c r="H54" s="31"/>
      <c r="I54" s="31"/>
      <c r="J54" s="32">
        <f>SUM(J12:J53)</f>
        <v>712000</v>
      </c>
      <c r="K54" s="32"/>
      <c r="L54" s="32"/>
      <c r="M54" s="33"/>
      <c r="N54" s="23"/>
      <c r="O54" s="31"/>
      <c r="P54" s="21">
        <f>SUM(O50:O51,O48,O43,O33,O22,O20,O15,O12,O53,O52)</f>
        <v>981711.72700000007</v>
      </c>
    </row>
  </sheetData>
  <mergeCells count="1">
    <mergeCell ref="A1:P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2026-05-01T06:05:02Z</dcterms:created>
  <dcterms:modified xsi:type="dcterms:W3CDTF">2026-05-06T04:23:31Z</dcterms:modified>
</cp:coreProperties>
</file>